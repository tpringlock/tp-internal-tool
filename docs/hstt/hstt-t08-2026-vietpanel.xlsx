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ESKTOP-UDV0F2K\Desktop\HỒ SƠ THANH TOÁN 2026\17. VIET PANEL\"/>
    </mc:Choice>
  </mc:AlternateContent>
  <bookViews>
    <workbookView xWindow="-120" yWindow="-120" windowWidth="24240" windowHeight="13140" activeTab="3"/>
  </bookViews>
  <sheets>
    <sheet name="ĐNTT" sheetId="5" r:id="rId1"/>
    <sheet name="ĐCCN" sheetId="4" r:id="rId2"/>
    <sheet name="Giá trị" sheetId="3" r:id="rId3"/>
    <sheet name="Khối lượng" sheetId="2" r:id="rId4"/>
    <sheet name="Vận chuyển" sheetId="6" state="hidden" r:id="rId5"/>
  </sheets>
  <definedNames>
    <definedName name="_xlnm._FilterDatabase" localSheetId="2" hidden="1">'Giá trị'!$A$331:$L$393</definedName>
    <definedName name="_xlnm._FilterDatabase" localSheetId="3" hidden="1">'Khối lượng'!$A$323:$K$378</definedName>
    <definedName name="_xlnm._FilterDatabase" localSheetId="4" hidden="1">'Vận chuyển'!#REF!</definedName>
    <definedName name="_xlnm.Print_Area" localSheetId="1">ĐCCN!$A$275:$J$308</definedName>
    <definedName name="_xlnm.Print_Area" localSheetId="0">ĐNTT!$A$192:$G$215</definedName>
    <definedName name="_xlnm.Print_Area" localSheetId="2">'Giá trị'!$A$868:$K$955</definedName>
    <definedName name="_xlnm.Print_Area" localSheetId="3">'Khối lượng'!$A$839:$I$924</definedName>
    <definedName name="_xlnm.Print_Area" localSheetId="4">'Vận chuyển'!$A$1:$F$56</definedName>
    <definedName name="_xlnm.Print_Titles" localSheetId="2">'Giá trị'!#REF!</definedName>
    <definedName name="_xlnm.Print_Titles" localSheetId="4">'Vận chuyển'!$26:$26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49" i="3" l="1"/>
  <c r="J948" i="3"/>
  <c r="J947" i="3"/>
  <c r="G266" i="4" l="1"/>
  <c r="J945" i="3" l="1"/>
  <c r="G902" i="3"/>
  <c r="G908" i="3"/>
  <c r="G913" i="3"/>
  <c r="G919" i="3"/>
  <c r="G924" i="3"/>
  <c r="G928" i="3"/>
  <c r="G934" i="3"/>
  <c r="G939" i="3"/>
  <c r="G943" i="3"/>
  <c r="G874" i="2"/>
  <c r="G880" i="2"/>
  <c r="G885" i="2"/>
  <c r="G891" i="2"/>
  <c r="G896" i="2"/>
  <c r="G900" i="2"/>
  <c r="G906" i="2"/>
  <c r="G911" i="2"/>
  <c r="G915" i="2"/>
  <c r="B206" i="5" l="1"/>
  <c r="H938" i="3"/>
  <c r="J938" i="3" s="1"/>
  <c r="H942" i="3"/>
  <c r="J942" i="3" s="1"/>
  <c r="H933" i="3"/>
  <c r="J933" i="3" s="1"/>
  <c r="H927" i="3"/>
  <c r="J927" i="3" s="1"/>
  <c r="H923" i="3"/>
  <c r="J923" i="3" s="1"/>
  <c r="H912" i="3"/>
  <c r="J912" i="3" s="1"/>
  <c r="H918" i="3"/>
  <c r="J918" i="3" s="1"/>
  <c r="H907" i="3"/>
  <c r="J907" i="3" s="1"/>
  <c r="H901" i="3"/>
  <c r="J901" i="3" s="1"/>
  <c r="H914" i="2"/>
  <c r="H910" i="2"/>
  <c r="H905" i="2"/>
  <c r="H899" i="2"/>
  <c r="H895" i="2"/>
  <c r="H884" i="2"/>
  <c r="H890" i="2"/>
  <c r="H873" i="2"/>
  <c r="H879" i="2"/>
  <c r="A206" i="5" l="1"/>
  <c r="A203" i="5"/>
  <c r="E180" i="5"/>
  <c r="G299" i="4"/>
  <c r="G231" i="4"/>
  <c r="H926" i="3"/>
  <c r="J900" i="3"/>
  <c r="F940" i="3"/>
  <c r="F935" i="3"/>
  <c r="H930" i="3"/>
  <c r="J930" i="3" s="1"/>
  <c r="H931" i="3"/>
  <c r="J931" i="3" s="1"/>
  <c r="H932" i="3"/>
  <c r="J932" i="3" s="1"/>
  <c r="H929" i="3"/>
  <c r="F929" i="3"/>
  <c r="F925" i="3"/>
  <c r="H915" i="3"/>
  <c r="H916" i="3"/>
  <c r="H917" i="3"/>
  <c r="H914" i="3"/>
  <c r="H921" i="3"/>
  <c r="H922" i="3"/>
  <c r="H920" i="3"/>
  <c r="F920" i="3"/>
  <c r="F914" i="3"/>
  <c r="F903" i="3"/>
  <c r="H898" i="3"/>
  <c r="J898" i="3" s="1"/>
  <c r="H899" i="3"/>
  <c r="J899" i="3" s="1"/>
  <c r="H900" i="3"/>
  <c r="G897" i="3"/>
  <c r="A944" i="3" l="1"/>
  <c r="H941" i="3"/>
  <c r="J941" i="3" s="1"/>
  <c r="H940" i="3"/>
  <c r="J940" i="3" s="1"/>
  <c r="J943" i="3" s="1"/>
  <c r="H937" i="3"/>
  <c r="J937" i="3" s="1"/>
  <c r="H936" i="3"/>
  <c r="J936" i="3" s="1"/>
  <c r="H935" i="3"/>
  <c r="J935" i="3" s="1"/>
  <c r="J929" i="3"/>
  <c r="J934" i="3" s="1"/>
  <c r="J926" i="3"/>
  <c r="H925" i="3"/>
  <c r="J925" i="3" s="1"/>
  <c r="J928" i="3" s="1"/>
  <c r="J922" i="3"/>
  <c r="J921" i="3"/>
  <c r="J920" i="3"/>
  <c r="J924" i="3" s="1"/>
  <c r="J917" i="3"/>
  <c r="J916" i="3"/>
  <c r="J915" i="3"/>
  <c r="J914" i="3"/>
  <c r="H911" i="3"/>
  <c r="J911" i="3" s="1"/>
  <c r="H910" i="3"/>
  <c r="J910" i="3" s="1"/>
  <c r="H909" i="3"/>
  <c r="J909" i="3" s="1"/>
  <c r="J913" i="3" s="1"/>
  <c r="H906" i="3"/>
  <c r="J906" i="3" s="1"/>
  <c r="H905" i="3"/>
  <c r="J905" i="3" s="1"/>
  <c r="H904" i="3"/>
  <c r="J904" i="3" s="1"/>
  <c r="H903" i="3"/>
  <c r="J903" i="3" s="1"/>
  <c r="J908" i="3" s="1"/>
  <c r="H897" i="3"/>
  <c r="J897" i="3" s="1"/>
  <c r="A896" i="3"/>
  <c r="E884" i="3"/>
  <c r="C884" i="3"/>
  <c r="C883" i="3"/>
  <c r="E882" i="3"/>
  <c r="C882" i="3"/>
  <c r="C881" i="3"/>
  <c r="B880" i="3"/>
  <c r="A874" i="3"/>
  <c r="F912" i="2"/>
  <c r="H893" i="2"/>
  <c r="H894" i="2"/>
  <c r="H892" i="2"/>
  <c r="H887" i="2"/>
  <c r="H872" i="2"/>
  <c r="H871" i="2"/>
  <c r="H870" i="2"/>
  <c r="J939" i="3" l="1"/>
  <c r="J919" i="3"/>
  <c r="J902" i="3"/>
  <c r="J896" i="3"/>
  <c r="A916" i="2"/>
  <c r="H913" i="2"/>
  <c r="H912" i="2"/>
  <c r="H909" i="2"/>
  <c r="H908" i="2"/>
  <c r="H907" i="2"/>
  <c r="H904" i="2"/>
  <c r="H903" i="2"/>
  <c r="H902" i="2"/>
  <c r="H901" i="2"/>
  <c r="H898" i="2"/>
  <c r="H897" i="2"/>
  <c r="H889" i="2"/>
  <c r="H888" i="2"/>
  <c r="H886" i="2"/>
  <c r="H883" i="2"/>
  <c r="H882" i="2"/>
  <c r="H881" i="2"/>
  <c r="H878" i="2"/>
  <c r="H877" i="2"/>
  <c r="H876" i="2"/>
  <c r="H875" i="2"/>
  <c r="H869" i="2"/>
  <c r="A868" i="2"/>
  <c r="B849" i="2"/>
  <c r="B848" i="2"/>
  <c r="H826" i="3" l="1"/>
  <c r="J826" i="3" s="1"/>
  <c r="G827" i="3"/>
  <c r="H800" i="2"/>
  <c r="H793" i="2"/>
  <c r="G820" i="3"/>
  <c r="H819" i="3"/>
  <c r="J819" i="3" s="1"/>
  <c r="H845" i="3"/>
  <c r="J845" i="3" s="1"/>
  <c r="G846" i="3"/>
  <c r="H819" i="2"/>
  <c r="H825" i="3"/>
  <c r="J825" i="3" s="1"/>
  <c r="H799" i="2"/>
  <c r="H828" i="2"/>
  <c r="H854" i="3"/>
  <c r="J854" i="3" s="1"/>
  <c r="H844" i="3"/>
  <c r="J844" i="3" s="1"/>
  <c r="H818" i="2"/>
  <c r="H824" i="2"/>
  <c r="H850" i="3"/>
  <c r="J850" i="3" s="1"/>
  <c r="G852" i="3"/>
  <c r="B181" i="5" l="1"/>
  <c r="A181" i="5"/>
  <c r="A178" i="5"/>
  <c r="H823" i="3"/>
  <c r="J823" i="3" s="1"/>
  <c r="H824" i="3"/>
  <c r="J824" i="3" s="1"/>
  <c r="H818" i="3"/>
  <c r="J818" i="3" s="1"/>
  <c r="J857" i="3"/>
  <c r="F857" i="3"/>
  <c r="A856" i="3"/>
  <c r="H853" i="3"/>
  <c r="G853" i="3"/>
  <c r="G855" i="3" s="1"/>
  <c r="H851" i="3"/>
  <c r="J851" i="3" s="1"/>
  <c r="H849" i="3"/>
  <c r="J849" i="3" s="1"/>
  <c r="H848" i="3"/>
  <c r="J848" i="3" s="1"/>
  <c r="H847" i="3"/>
  <c r="J847" i="3" s="1"/>
  <c r="H843" i="3"/>
  <c r="J843" i="3" s="1"/>
  <c r="H842" i="3"/>
  <c r="J842" i="3" s="1"/>
  <c r="H841" i="3"/>
  <c r="J841" i="3" s="1"/>
  <c r="G840" i="3"/>
  <c r="H835" i="3"/>
  <c r="J835" i="3" s="1"/>
  <c r="H834" i="3"/>
  <c r="J834" i="3" s="1"/>
  <c r="H833" i="3"/>
  <c r="J833" i="3" s="1"/>
  <c r="H832" i="3"/>
  <c r="J832" i="3" s="1"/>
  <c r="H831" i="3"/>
  <c r="J831" i="3" s="1"/>
  <c r="H830" i="3"/>
  <c r="J830" i="3" s="1"/>
  <c r="H829" i="3"/>
  <c r="J829" i="3" s="1"/>
  <c r="H828" i="3"/>
  <c r="J828" i="3" s="1"/>
  <c r="H822" i="3"/>
  <c r="J822" i="3" s="1"/>
  <c r="H821" i="3"/>
  <c r="J821" i="3" s="1"/>
  <c r="H817" i="3"/>
  <c r="J817" i="3" s="1"/>
  <c r="H816" i="3"/>
  <c r="J816" i="3" s="1"/>
  <c r="H815" i="3"/>
  <c r="J815" i="3" s="1"/>
  <c r="H814" i="3"/>
  <c r="J814" i="3" s="1"/>
  <c r="G813" i="3"/>
  <c r="H809" i="3"/>
  <c r="J809" i="3" s="1"/>
  <c r="H808" i="3"/>
  <c r="J808" i="3" s="1"/>
  <c r="H807" i="3"/>
  <c r="J807" i="3" s="1"/>
  <c r="H806" i="3"/>
  <c r="J806" i="3" s="1"/>
  <c r="H805" i="3"/>
  <c r="J805" i="3" s="1"/>
  <c r="H804" i="3"/>
  <c r="J804" i="3" s="1"/>
  <c r="H803" i="3"/>
  <c r="J803" i="3" s="1"/>
  <c r="H802" i="3"/>
  <c r="J802" i="3" s="1"/>
  <c r="G801" i="3"/>
  <c r="H798" i="3"/>
  <c r="J798" i="3" s="1"/>
  <c r="H797" i="3"/>
  <c r="J797" i="3" s="1"/>
  <c r="H796" i="3"/>
  <c r="J796" i="3" s="1"/>
  <c r="H795" i="3"/>
  <c r="J795" i="3" s="1"/>
  <c r="H794" i="3"/>
  <c r="J794" i="3" s="1"/>
  <c r="G793" i="3"/>
  <c r="H787" i="3"/>
  <c r="J787" i="3" s="1"/>
  <c r="H786" i="3"/>
  <c r="J786" i="3" s="1"/>
  <c r="H785" i="3"/>
  <c r="J785" i="3" s="1"/>
  <c r="H784" i="3"/>
  <c r="J784" i="3" s="1"/>
  <c r="G783" i="3"/>
  <c r="H776" i="3"/>
  <c r="J776" i="3" s="1"/>
  <c r="H775" i="3"/>
  <c r="J775" i="3" s="1"/>
  <c r="A774" i="3"/>
  <c r="E762" i="3"/>
  <c r="C762" i="3"/>
  <c r="C761" i="3"/>
  <c r="E760" i="3"/>
  <c r="C760" i="3"/>
  <c r="C759" i="3"/>
  <c r="B758" i="3"/>
  <c r="A752" i="3"/>
  <c r="H797" i="2"/>
  <c r="H798" i="2"/>
  <c r="H792" i="2"/>
  <c r="J703" i="2"/>
  <c r="A830" i="2"/>
  <c r="H827" i="2"/>
  <c r="G827" i="2"/>
  <c r="H825" i="2"/>
  <c r="H823" i="2"/>
  <c r="H822" i="2"/>
  <c r="H821" i="2"/>
  <c r="H817" i="2"/>
  <c r="H816" i="2"/>
  <c r="H815" i="2"/>
  <c r="H809" i="2"/>
  <c r="H808" i="2"/>
  <c r="H807" i="2"/>
  <c r="H806" i="2"/>
  <c r="H805" i="2"/>
  <c r="H804" i="2"/>
  <c r="H803" i="2"/>
  <c r="H802" i="2"/>
  <c r="H796" i="2"/>
  <c r="H795" i="2"/>
  <c r="H791" i="2"/>
  <c r="H790" i="2"/>
  <c r="H789" i="2"/>
  <c r="H788" i="2"/>
  <c r="H783" i="2"/>
  <c r="H782" i="2"/>
  <c r="H781" i="2"/>
  <c r="H780" i="2"/>
  <c r="H779" i="2"/>
  <c r="H778" i="2"/>
  <c r="H777" i="2"/>
  <c r="H776" i="2"/>
  <c r="H772" i="2"/>
  <c r="H771" i="2"/>
  <c r="H770" i="2"/>
  <c r="H769" i="2"/>
  <c r="H768" i="2"/>
  <c r="H761" i="2"/>
  <c r="H760" i="2"/>
  <c r="H759" i="2"/>
  <c r="H758" i="2"/>
  <c r="H750" i="2"/>
  <c r="H749" i="2"/>
  <c r="A748" i="2"/>
  <c r="B729" i="2"/>
  <c r="B728" i="2"/>
  <c r="G301" i="4" l="1"/>
  <c r="G303" i="4" s="1"/>
  <c r="E205" i="5"/>
  <c r="J827" i="3"/>
  <c r="J820" i="3"/>
  <c r="J853" i="3"/>
  <c r="J855" i="3" s="1"/>
  <c r="L773" i="3"/>
  <c r="G912" i="2"/>
  <c r="G829" i="2"/>
  <c r="J840" i="3"/>
  <c r="J846" i="3"/>
  <c r="J852" i="3"/>
  <c r="J783" i="3"/>
  <c r="J813" i="3"/>
  <c r="J801" i="3"/>
  <c r="J793" i="3"/>
  <c r="B157" i="5"/>
  <c r="A157" i="5"/>
  <c r="A154" i="5"/>
  <c r="J774" i="3" l="1"/>
  <c r="J859" i="3"/>
  <c r="J860" i="3" s="1"/>
  <c r="J861" i="3" s="1"/>
  <c r="L857" i="3"/>
  <c r="J734" i="3"/>
  <c r="F734" i="3"/>
  <c r="H727" i="3"/>
  <c r="J727" i="3" s="1"/>
  <c r="H728" i="3"/>
  <c r="J728" i="3" s="1"/>
  <c r="H729" i="3"/>
  <c r="J729" i="3" s="1"/>
  <c r="G730" i="3"/>
  <c r="H723" i="3"/>
  <c r="J723" i="3" s="1"/>
  <c r="H724" i="3"/>
  <c r="J724" i="3" s="1"/>
  <c r="G725" i="3"/>
  <c r="H718" i="3"/>
  <c r="J718" i="3" s="1"/>
  <c r="H719" i="3"/>
  <c r="J719" i="3" s="1"/>
  <c r="H702" i="3"/>
  <c r="J702" i="3" s="1"/>
  <c r="H703" i="3"/>
  <c r="J703" i="3" s="1"/>
  <c r="H704" i="3"/>
  <c r="J704" i="3" s="1"/>
  <c r="G705" i="3"/>
  <c r="H666" i="3"/>
  <c r="J666" i="3" s="1"/>
  <c r="H667" i="3"/>
  <c r="J667" i="3" s="1"/>
  <c r="H668" i="3"/>
  <c r="J668" i="3" s="1"/>
  <c r="H669" i="3"/>
  <c r="J669" i="3" s="1"/>
  <c r="G670" i="3"/>
  <c r="A733" i="3"/>
  <c r="H731" i="3"/>
  <c r="G731" i="3"/>
  <c r="G732" i="3" s="1"/>
  <c r="H726" i="3"/>
  <c r="H722" i="3"/>
  <c r="J722" i="3" s="1"/>
  <c r="H720" i="3"/>
  <c r="J720" i="3" s="1"/>
  <c r="H717" i="3"/>
  <c r="J717" i="3" s="1"/>
  <c r="H716" i="3"/>
  <c r="J716" i="3" s="1"/>
  <c r="H715" i="3"/>
  <c r="J715" i="3" s="1"/>
  <c r="H714" i="3"/>
  <c r="J714" i="3" s="1"/>
  <c r="H713" i="3"/>
  <c r="J713" i="3" s="1"/>
  <c r="H712" i="3"/>
  <c r="J712" i="3" s="1"/>
  <c r="H711" i="3"/>
  <c r="J711" i="3" s="1"/>
  <c r="H710" i="3"/>
  <c r="J710" i="3" s="1"/>
  <c r="H709" i="3"/>
  <c r="G721" i="3"/>
  <c r="H707" i="3"/>
  <c r="J707" i="3" s="1"/>
  <c r="H706" i="3"/>
  <c r="G708" i="3"/>
  <c r="H701" i="3"/>
  <c r="H699" i="3"/>
  <c r="J699" i="3" s="1"/>
  <c r="H698" i="3"/>
  <c r="J698" i="3" s="1"/>
  <c r="H697" i="3"/>
  <c r="J697" i="3" s="1"/>
  <c r="H696" i="3"/>
  <c r="J696" i="3" s="1"/>
  <c r="H695" i="3"/>
  <c r="J695" i="3" s="1"/>
  <c r="H694" i="3"/>
  <c r="J694" i="3" s="1"/>
  <c r="H693" i="3"/>
  <c r="J693" i="3" s="1"/>
  <c r="H692" i="3"/>
  <c r="J692" i="3" s="1"/>
  <c r="H691" i="3"/>
  <c r="J691" i="3" s="1"/>
  <c r="H690" i="3"/>
  <c r="J690" i="3" s="1"/>
  <c r="H689" i="3"/>
  <c r="G700" i="3"/>
  <c r="H687" i="3"/>
  <c r="J687" i="3" s="1"/>
  <c r="H686" i="3"/>
  <c r="J686" i="3" s="1"/>
  <c r="H685" i="3"/>
  <c r="J685" i="3" s="1"/>
  <c r="H684" i="3"/>
  <c r="J684" i="3" s="1"/>
  <c r="H683" i="3"/>
  <c r="J683" i="3" s="1"/>
  <c r="H682" i="3"/>
  <c r="J682" i="3" s="1"/>
  <c r="H681" i="3"/>
  <c r="J681" i="3" s="1"/>
  <c r="G688" i="3"/>
  <c r="H679" i="3"/>
  <c r="J679" i="3" s="1"/>
  <c r="H678" i="3"/>
  <c r="J678" i="3" s="1"/>
  <c r="H677" i="3"/>
  <c r="J677" i="3" s="1"/>
  <c r="H676" i="3"/>
  <c r="J676" i="3" s="1"/>
  <c r="H675" i="3"/>
  <c r="J675" i="3" s="1"/>
  <c r="H674" i="3"/>
  <c r="J674" i="3" s="1"/>
  <c r="H673" i="3"/>
  <c r="J673" i="3" s="1"/>
  <c r="H672" i="3"/>
  <c r="J672" i="3" s="1"/>
  <c r="H671" i="3"/>
  <c r="G680" i="3"/>
  <c r="H665" i="3"/>
  <c r="J665" i="3" s="1"/>
  <c r="H664" i="3"/>
  <c r="J664" i="3" s="1"/>
  <c r="H663" i="3"/>
  <c r="J663" i="3" s="1"/>
  <c r="H662" i="3"/>
  <c r="J662" i="3" s="1"/>
  <c r="A661" i="3"/>
  <c r="E649" i="3"/>
  <c r="C649" i="3"/>
  <c r="C648" i="3"/>
  <c r="E647" i="3"/>
  <c r="C647" i="3"/>
  <c r="C646" i="3"/>
  <c r="B645" i="3"/>
  <c r="A639" i="3"/>
  <c r="H695" i="2"/>
  <c r="H694" i="2"/>
  <c r="H701" i="2"/>
  <c r="H700" i="2"/>
  <c r="H706" i="2"/>
  <c r="H704" i="2"/>
  <c r="H705" i="2"/>
  <c r="H642" i="2"/>
  <c r="H643" i="2"/>
  <c r="H644" i="2"/>
  <c r="H645" i="2"/>
  <c r="H646" i="2"/>
  <c r="H681" i="2"/>
  <c r="H680" i="2"/>
  <c r="H679" i="2"/>
  <c r="J725" i="3" l="1"/>
  <c r="G268" i="4"/>
  <c r="J670" i="3"/>
  <c r="J706" i="3"/>
  <c r="J708" i="3" s="1"/>
  <c r="J726" i="3"/>
  <c r="J730" i="3" s="1"/>
  <c r="J671" i="3"/>
  <c r="J680" i="3" s="1"/>
  <c r="J689" i="3"/>
  <c r="J700" i="3" s="1"/>
  <c r="J701" i="3"/>
  <c r="J705" i="3" s="1"/>
  <c r="J709" i="3"/>
  <c r="J721" i="3" s="1"/>
  <c r="J688" i="3"/>
  <c r="L660" i="3"/>
  <c r="J731" i="3"/>
  <c r="J732" i="3" s="1"/>
  <c r="A710" i="2"/>
  <c r="H708" i="2"/>
  <c r="G708" i="2"/>
  <c r="G709" i="2" s="1"/>
  <c r="H703" i="2"/>
  <c r="G703" i="2"/>
  <c r="G707" i="2" s="1"/>
  <c r="F821" i="2" s="1"/>
  <c r="G821" i="2" s="1"/>
  <c r="G826" i="2" s="1"/>
  <c r="H699" i="2"/>
  <c r="G699" i="2"/>
  <c r="G702" i="2" s="1"/>
  <c r="F815" i="2" s="1"/>
  <c r="G815" i="2" s="1"/>
  <c r="G820" i="2" s="1"/>
  <c r="F907" i="2" s="1"/>
  <c r="G907" i="2" s="1"/>
  <c r="H697" i="2"/>
  <c r="H696" i="2"/>
  <c r="H693" i="2"/>
  <c r="H692" i="2"/>
  <c r="H691" i="2"/>
  <c r="H690" i="2"/>
  <c r="H689" i="2"/>
  <c r="H688" i="2"/>
  <c r="H687" i="2"/>
  <c r="H686" i="2"/>
  <c r="H684" i="2"/>
  <c r="H683" i="2"/>
  <c r="H678" i="2"/>
  <c r="G678" i="2"/>
  <c r="G682" i="2" s="1"/>
  <c r="F788" i="2" s="1"/>
  <c r="G788" i="2" s="1"/>
  <c r="G794" i="2" s="1"/>
  <c r="F892" i="2" s="1"/>
  <c r="G892" i="2" s="1"/>
  <c r="H676" i="2"/>
  <c r="H675" i="2"/>
  <c r="H674" i="2"/>
  <c r="H673" i="2"/>
  <c r="H672" i="2"/>
  <c r="H671" i="2"/>
  <c r="H670" i="2"/>
  <c r="H669" i="2"/>
  <c r="H668" i="2"/>
  <c r="H667" i="2"/>
  <c r="H666" i="2"/>
  <c r="H664" i="2"/>
  <c r="H663" i="2"/>
  <c r="H662" i="2"/>
  <c r="H661" i="2"/>
  <c r="H660" i="2"/>
  <c r="H659" i="2"/>
  <c r="H658" i="2"/>
  <c r="H656" i="2"/>
  <c r="H655" i="2"/>
  <c r="H654" i="2"/>
  <c r="H653" i="2"/>
  <c r="H652" i="2"/>
  <c r="H651" i="2"/>
  <c r="H650" i="2"/>
  <c r="H649" i="2"/>
  <c r="H648" i="2"/>
  <c r="H641" i="2"/>
  <c r="H640" i="2"/>
  <c r="H639" i="2"/>
  <c r="A638" i="2"/>
  <c r="B619" i="2"/>
  <c r="B618" i="2"/>
  <c r="L734" i="3" l="1"/>
  <c r="J736" i="3"/>
  <c r="J737" i="3" s="1"/>
  <c r="J738" i="3" s="1"/>
  <c r="J661" i="3"/>
  <c r="B133" i="5"/>
  <c r="A133" i="5"/>
  <c r="A130" i="5"/>
  <c r="G196" i="4"/>
  <c r="H584" i="2"/>
  <c r="H585" i="2"/>
  <c r="H586" i="2"/>
  <c r="H587" i="2"/>
  <c r="H588" i="2"/>
  <c r="H589" i="2"/>
  <c r="H590" i="2"/>
  <c r="H591" i="2"/>
  <c r="H592" i="2"/>
  <c r="G583" i="2"/>
  <c r="G593" i="2" s="1"/>
  <c r="F686" i="2" s="1"/>
  <c r="G686" i="2" s="1"/>
  <c r="G698" i="2" s="1"/>
  <c r="F802" i="2" s="1"/>
  <c r="G802" i="2" s="1"/>
  <c r="H581" i="2"/>
  <c r="G580" i="2"/>
  <c r="G582" i="2" s="1"/>
  <c r="F683" i="2" s="1"/>
  <c r="G683" i="2" s="1"/>
  <c r="G685" i="2" s="1"/>
  <c r="F795" i="2" s="1"/>
  <c r="G795" i="2" s="1"/>
  <c r="G801" i="2" s="1"/>
  <c r="F897" i="2" s="1"/>
  <c r="G897" i="2" s="1"/>
  <c r="G578" i="2"/>
  <c r="G579" i="2" s="1"/>
  <c r="H565" i="2"/>
  <c r="H566" i="2"/>
  <c r="H567" i="2"/>
  <c r="H568" i="2"/>
  <c r="H569" i="2"/>
  <c r="H570" i="2"/>
  <c r="H571" i="2"/>
  <c r="H572" i="2"/>
  <c r="H573" i="2"/>
  <c r="H574" i="2"/>
  <c r="H575" i="2"/>
  <c r="H576" i="2"/>
  <c r="G564" i="2"/>
  <c r="G577" i="2" s="1"/>
  <c r="F666" i="2" s="1"/>
  <c r="G666" i="2" s="1"/>
  <c r="G677" i="2" s="1"/>
  <c r="F776" i="2" s="1"/>
  <c r="G776" i="2" s="1"/>
  <c r="G787" i="2" s="1"/>
  <c r="F886" i="2" s="1"/>
  <c r="G886" i="2" s="1"/>
  <c r="H557" i="2"/>
  <c r="H558" i="2"/>
  <c r="H559" i="2"/>
  <c r="H560" i="2"/>
  <c r="H561" i="2"/>
  <c r="H562" i="2"/>
  <c r="G556" i="2"/>
  <c r="G563" i="2" s="1"/>
  <c r="F658" i="2" s="1"/>
  <c r="G658" i="2" s="1"/>
  <c r="G665" i="2" s="1"/>
  <c r="F768" i="2" s="1"/>
  <c r="G768" i="2" s="1"/>
  <c r="G775" i="2" s="1"/>
  <c r="F881" i="2" s="1"/>
  <c r="G881" i="2" s="1"/>
  <c r="H546" i="2"/>
  <c r="H547" i="2"/>
  <c r="H548" i="2"/>
  <c r="H549" i="2"/>
  <c r="H550" i="2"/>
  <c r="H551" i="2"/>
  <c r="H552" i="2"/>
  <c r="H553" i="2"/>
  <c r="H554" i="2"/>
  <c r="G545" i="2"/>
  <c r="G555" i="2" s="1"/>
  <c r="F648" i="2" s="1"/>
  <c r="G648" i="2" s="1"/>
  <c r="G657" i="2" s="1"/>
  <c r="F758" i="2" s="1"/>
  <c r="G758" i="2" s="1"/>
  <c r="G767" i="2" s="1"/>
  <c r="H540" i="2"/>
  <c r="H541" i="2"/>
  <c r="H542" i="2"/>
  <c r="H543" i="2"/>
  <c r="G539" i="2"/>
  <c r="G544" i="2" s="1"/>
  <c r="F639" i="2" s="1"/>
  <c r="G639" i="2" s="1"/>
  <c r="G647" i="2" s="1"/>
  <c r="A600" i="2"/>
  <c r="H598" i="2"/>
  <c r="G598" i="2"/>
  <c r="G599" i="2" s="1"/>
  <c r="H596" i="2"/>
  <c r="G596" i="2"/>
  <c r="G597" i="2" s="1"/>
  <c r="H594" i="2"/>
  <c r="G594" i="2"/>
  <c r="G595" i="2" s="1"/>
  <c r="H583" i="2"/>
  <c r="H580" i="2"/>
  <c r="H578" i="2"/>
  <c r="H564" i="2"/>
  <c r="H556" i="2"/>
  <c r="H545" i="2"/>
  <c r="H539" i="2"/>
  <c r="A538" i="2"/>
  <c r="B519" i="2"/>
  <c r="B518" i="2"/>
  <c r="H595" i="3"/>
  <c r="J595" i="3" s="1"/>
  <c r="H594" i="3"/>
  <c r="J594" i="3" s="1"/>
  <c r="H592" i="3"/>
  <c r="J592" i="3" s="1"/>
  <c r="H590" i="3"/>
  <c r="J590" i="3" s="1"/>
  <c r="H601" i="3"/>
  <c r="J601" i="3" s="1"/>
  <c r="H604" i="3"/>
  <c r="J604" i="3" s="1"/>
  <c r="H605" i="3"/>
  <c r="J605" i="3" s="1"/>
  <c r="H606" i="3"/>
  <c r="J606" i="3" s="1"/>
  <c r="H607" i="3"/>
  <c r="J607" i="3" s="1"/>
  <c r="H608" i="3"/>
  <c r="J608" i="3" s="1"/>
  <c r="H609" i="3"/>
  <c r="J609" i="3" s="1"/>
  <c r="H610" i="3"/>
  <c r="J610" i="3" s="1"/>
  <c r="H611" i="3"/>
  <c r="J611" i="3" s="1"/>
  <c r="H612" i="3"/>
  <c r="J612" i="3" s="1"/>
  <c r="H577" i="3"/>
  <c r="J577" i="3" s="1"/>
  <c r="H578" i="3"/>
  <c r="J578" i="3" s="1"/>
  <c r="H579" i="3"/>
  <c r="J579" i="3" s="1"/>
  <c r="H580" i="3"/>
  <c r="J580" i="3" s="1"/>
  <c r="H581" i="3"/>
  <c r="J581" i="3" s="1"/>
  <c r="H582" i="3"/>
  <c r="J582" i="3" s="1"/>
  <c r="G584" i="3"/>
  <c r="G597" i="3" s="1"/>
  <c r="H585" i="3"/>
  <c r="J585" i="3" s="1"/>
  <c r="H586" i="3"/>
  <c r="J586" i="3" s="1"/>
  <c r="H587" i="3"/>
  <c r="J587" i="3" s="1"/>
  <c r="H588" i="3"/>
  <c r="J588" i="3" s="1"/>
  <c r="H589" i="3"/>
  <c r="J589" i="3" s="1"/>
  <c r="H591" i="3"/>
  <c r="J591" i="3" s="1"/>
  <c r="H593" i="3"/>
  <c r="J593" i="3" s="1"/>
  <c r="H596" i="3"/>
  <c r="J596" i="3" s="1"/>
  <c r="H560" i="3"/>
  <c r="J560" i="3" s="1"/>
  <c r="H561" i="3"/>
  <c r="J561" i="3" s="1"/>
  <c r="H562" i="3"/>
  <c r="J562" i="3" s="1"/>
  <c r="H563" i="3"/>
  <c r="J563" i="3" s="1"/>
  <c r="G565" i="3"/>
  <c r="G575" i="3" s="1"/>
  <c r="H566" i="3"/>
  <c r="J566" i="3" s="1"/>
  <c r="H565" i="3"/>
  <c r="H567" i="3"/>
  <c r="J567" i="3" s="1"/>
  <c r="H568" i="3"/>
  <c r="J568" i="3" s="1"/>
  <c r="H569" i="3"/>
  <c r="J569" i="3" s="1"/>
  <c r="H570" i="3"/>
  <c r="J570" i="3" s="1"/>
  <c r="H571" i="3"/>
  <c r="J571" i="3" s="1"/>
  <c r="H572" i="3"/>
  <c r="J572" i="3" s="1"/>
  <c r="H573" i="3"/>
  <c r="J573" i="3" s="1"/>
  <c r="H574" i="3"/>
  <c r="J574" i="3" s="1"/>
  <c r="A620" i="3"/>
  <c r="H618" i="3"/>
  <c r="G618" i="3"/>
  <c r="G619" i="3" s="1"/>
  <c r="H616" i="3"/>
  <c r="G616" i="3"/>
  <c r="G617" i="3" s="1"/>
  <c r="H614" i="3"/>
  <c r="G614" i="3"/>
  <c r="G615" i="3" s="1"/>
  <c r="H603" i="3"/>
  <c r="G603" i="3"/>
  <c r="G613" i="3" s="1"/>
  <c r="H600" i="3"/>
  <c r="G600" i="3"/>
  <c r="G602" i="3" s="1"/>
  <c r="H598" i="3"/>
  <c r="G598" i="3"/>
  <c r="G599" i="3" s="1"/>
  <c r="H584" i="3"/>
  <c r="H576" i="3"/>
  <c r="G576" i="3"/>
  <c r="G583" i="3" s="1"/>
  <c r="H559" i="3"/>
  <c r="G559" i="3"/>
  <c r="G564" i="3" s="1"/>
  <c r="A558" i="3"/>
  <c r="E546" i="3"/>
  <c r="C546" i="3"/>
  <c r="C545" i="3"/>
  <c r="E544" i="3"/>
  <c r="C544" i="3"/>
  <c r="C543" i="3"/>
  <c r="B542" i="3"/>
  <c r="A536" i="3"/>
  <c r="B109" i="5"/>
  <c r="A109" i="5"/>
  <c r="A106" i="5"/>
  <c r="G164" i="4"/>
  <c r="G161" i="4"/>
  <c r="G492" i="2"/>
  <c r="G493" i="2" s="1"/>
  <c r="G484" i="2"/>
  <c r="G485" i="2" s="1"/>
  <c r="G482" i="2"/>
  <c r="G483" i="2" s="1"/>
  <c r="A500" i="2"/>
  <c r="H498" i="2"/>
  <c r="G498" i="2"/>
  <c r="G499" i="2" s="1"/>
  <c r="H496" i="2"/>
  <c r="G496" i="2"/>
  <c r="G497" i="2" s="1"/>
  <c r="H494" i="2"/>
  <c r="G494" i="2"/>
  <c r="G495" i="2" s="1"/>
  <c r="H492" i="2"/>
  <c r="H490" i="2"/>
  <c r="G490" i="2"/>
  <c r="G491" i="2" s="1"/>
  <c r="H488" i="2"/>
  <c r="G488" i="2"/>
  <c r="G489" i="2" s="1"/>
  <c r="H486" i="2"/>
  <c r="G486" i="2"/>
  <c r="G487" i="2" s="1"/>
  <c r="H484" i="2"/>
  <c r="H482" i="2"/>
  <c r="H480" i="2"/>
  <c r="G480" i="2"/>
  <c r="G481" i="2" s="1"/>
  <c r="A479" i="2"/>
  <c r="B460" i="2"/>
  <c r="B459" i="2"/>
  <c r="G499" i="3"/>
  <c r="G500" i="3" s="1"/>
  <c r="A517" i="3"/>
  <c r="H515" i="3"/>
  <c r="G515" i="3"/>
  <c r="G516" i="3" s="1"/>
  <c r="H513" i="3"/>
  <c r="G513" i="3"/>
  <c r="G514" i="3" s="1"/>
  <c r="H511" i="3"/>
  <c r="G511" i="3"/>
  <c r="G512" i="3" s="1"/>
  <c r="H509" i="3"/>
  <c r="G509" i="3"/>
  <c r="G510" i="3" s="1"/>
  <c r="H507" i="3"/>
  <c r="G507" i="3"/>
  <c r="G508" i="3" s="1"/>
  <c r="H505" i="3"/>
  <c r="G505" i="3"/>
  <c r="G506" i="3" s="1"/>
  <c r="H503" i="3"/>
  <c r="G503" i="3"/>
  <c r="G504" i="3" s="1"/>
  <c r="H501" i="3"/>
  <c r="G501" i="3"/>
  <c r="G502" i="3" s="1"/>
  <c r="H499" i="3"/>
  <c r="H497" i="3"/>
  <c r="G497" i="3"/>
  <c r="G498" i="3" s="1"/>
  <c r="A496" i="3"/>
  <c r="E484" i="3"/>
  <c r="C484" i="3"/>
  <c r="C483" i="3"/>
  <c r="E482" i="3"/>
  <c r="C482" i="3"/>
  <c r="C481" i="3"/>
  <c r="B480" i="3"/>
  <c r="A474" i="3"/>
  <c r="B84" i="5"/>
  <c r="N427" i="3"/>
  <c r="G426" i="2"/>
  <c r="G420" i="2"/>
  <c r="H417" i="2"/>
  <c r="H418" i="2"/>
  <c r="H419" i="2"/>
  <c r="H421" i="2"/>
  <c r="H422" i="2"/>
  <c r="H423" i="2"/>
  <c r="H424" i="2"/>
  <c r="H425" i="2"/>
  <c r="H427" i="2"/>
  <c r="H429" i="2"/>
  <c r="H431" i="2"/>
  <c r="H433" i="2"/>
  <c r="H434" i="2"/>
  <c r="H436" i="2"/>
  <c r="H438" i="2"/>
  <c r="H440" i="2"/>
  <c r="H415" i="2"/>
  <c r="H435" i="3"/>
  <c r="J435" i="3" s="1"/>
  <c r="H436" i="3"/>
  <c r="J436" i="3" s="1"/>
  <c r="H437" i="3"/>
  <c r="J437" i="3" s="1"/>
  <c r="H438" i="3"/>
  <c r="J438" i="3" s="1"/>
  <c r="H431" i="3"/>
  <c r="J431" i="3" s="1"/>
  <c r="H432" i="3"/>
  <c r="J432" i="3" s="1"/>
  <c r="H430" i="3"/>
  <c r="H434" i="3"/>
  <c r="H440" i="3"/>
  <c r="H442" i="3"/>
  <c r="H444" i="3"/>
  <c r="H446" i="3"/>
  <c r="H447" i="3"/>
  <c r="J447" i="3" s="1"/>
  <c r="H449" i="3"/>
  <c r="H451" i="3"/>
  <c r="H453" i="3"/>
  <c r="G430" i="3"/>
  <c r="G433" i="3" s="1"/>
  <c r="H428" i="3"/>
  <c r="A84" i="5"/>
  <c r="A81" i="5"/>
  <c r="A455" i="3"/>
  <c r="G453" i="3"/>
  <c r="G454" i="3" s="1"/>
  <c r="G451" i="3"/>
  <c r="G452" i="3" s="1"/>
  <c r="G449" i="3"/>
  <c r="G450" i="3" s="1"/>
  <c r="G446" i="3"/>
  <c r="G448" i="3" s="1"/>
  <c r="G444" i="3"/>
  <c r="G445" i="3" s="1"/>
  <c r="G442" i="3"/>
  <c r="G443" i="3" s="1"/>
  <c r="G440" i="3"/>
  <c r="G441" i="3" s="1"/>
  <c r="G434" i="3"/>
  <c r="G439" i="3" s="1"/>
  <c r="G428" i="3"/>
  <c r="G429" i="3" s="1"/>
  <c r="A427" i="3"/>
  <c r="E415" i="3"/>
  <c r="C415" i="3"/>
  <c r="C414" i="3"/>
  <c r="E413" i="3"/>
  <c r="C413" i="3"/>
  <c r="C412" i="3"/>
  <c r="B411" i="3"/>
  <c r="A405" i="3"/>
  <c r="A442" i="2"/>
  <c r="G440" i="2"/>
  <c r="G441" i="2" s="1"/>
  <c r="G438" i="2"/>
  <c r="G439" i="2" s="1"/>
  <c r="G436" i="2"/>
  <c r="G437" i="2" s="1"/>
  <c r="G435" i="2"/>
  <c r="G431" i="2"/>
  <c r="G432" i="2" s="1"/>
  <c r="G429" i="2"/>
  <c r="G430" i="2" s="1"/>
  <c r="G427" i="2"/>
  <c r="G428" i="2" s="1"/>
  <c r="G415" i="2"/>
  <c r="G416" i="2" s="1"/>
  <c r="A414" i="2"/>
  <c r="B395" i="2"/>
  <c r="B394" i="2"/>
  <c r="L390" i="3"/>
  <c r="H333" i="3"/>
  <c r="H351" i="3"/>
  <c r="H365" i="3"/>
  <c r="H367" i="3"/>
  <c r="H369" i="3"/>
  <c r="H370" i="3"/>
  <c r="H371" i="3"/>
  <c r="H373" i="3"/>
  <c r="H374" i="3"/>
  <c r="J374" i="3" s="1"/>
  <c r="H376" i="3"/>
  <c r="H377" i="3"/>
  <c r="H378" i="3"/>
  <c r="H379" i="3"/>
  <c r="H380" i="3"/>
  <c r="H382" i="3"/>
  <c r="H337" i="3"/>
  <c r="J337" i="3" s="1"/>
  <c r="H345" i="3"/>
  <c r="H338" i="3"/>
  <c r="H329" i="2"/>
  <c r="G343" i="3"/>
  <c r="F875" i="2" l="1"/>
  <c r="G875" i="2" s="1"/>
  <c r="G814" i="2"/>
  <c r="F901" i="2" s="1"/>
  <c r="G901" i="2" s="1"/>
  <c r="F749" i="2"/>
  <c r="G749" i="2" s="1"/>
  <c r="G757" i="2" s="1"/>
  <c r="J702" i="2"/>
  <c r="J704" i="2" s="1"/>
  <c r="E156" i="5"/>
  <c r="G233" i="4"/>
  <c r="J478" i="2"/>
  <c r="L557" i="3"/>
  <c r="M555" i="3" s="1"/>
  <c r="L495" i="3"/>
  <c r="J565" i="3"/>
  <c r="J575" i="3" s="1"/>
  <c r="J559" i="3"/>
  <c r="J564" i="3" s="1"/>
  <c r="J614" i="3"/>
  <c r="J615" i="3" s="1"/>
  <c r="J618" i="3"/>
  <c r="J619" i="3" s="1"/>
  <c r="J616" i="3"/>
  <c r="J617" i="3" s="1"/>
  <c r="J603" i="3"/>
  <c r="J613" i="3" s="1"/>
  <c r="J600" i="3"/>
  <c r="J602" i="3" s="1"/>
  <c r="J598" i="3"/>
  <c r="J599" i="3" s="1"/>
  <c r="J584" i="3"/>
  <c r="J597" i="3" s="1"/>
  <c r="J576" i="3"/>
  <c r="J583" i="3" s="1"/>
  <c r="K413" i="2"/>
  <c r="J511" i="3"/>
  <c r="J512" i="3" s="1"/>
  <c r="J497" i="3"/>
  <c r="J498" i="3" s="1"/>
  <c r="L426" i="3"/>
  <c r="N426" i="3" s="1"/>
  <c r="J513" i="3"/>
  <c r="J514" i="3" s="1"/>
  <c r="J515" i="3"/>
  <c r="J516" i="3" s="1"/>
  <c r="J503" i="3"/>
  <c r="J504" i="3" s="1"/>
  <c r="J505" i="3"/>
  <c r="J506" i="3" s="1"/>
  <c r="J509" i="3"/>
  <c r="J510" i="3" s="1"/>
  <c r="J501" i="3"/>
  <c r="J502" i="3" s="1"/>
  <c r="J499" i="3"/>
  <c r="J500" i="3" s="1"/>
  <c r="J507" i="3"/>
  <c r="J508" i="3" s="1"/>
  <c r="J413" i="2"/>
  <c r="J444" i="3"/>
  <c r="J445" i="3" s="1"/>
  <c r="J453" i="3"/>
  <c r="J454" i="3" s="1"/>
  <c r="J434" i="3"/>
  <c r="J439" i="3" s="1"/>
  <c r="J446" i="3"/>
  <c r="J448" i="3" s="1"/>
  <c r="J449" i="3"/>
  <c r="J450" i="3" s="1"/>
  <c r="J428" i="3"/>
  <c r="J429" i="3" s="1"/>
  <c r="J442" i="3"/>
  <c r="J443" i="3" s="1"/>
  <c r="J451" i="3"/>
  <c r="J452" i="3" s="1"/>
  <c r="J440" i="3"/>
  <c r="J441" i="3" s="1"/>
  <c r="J430" i="3"/>
  <c r="J433" i="3" s="1"/>
  <c r="B59" i="5"/>
  <c r="A59" i="5"/>
  <c r="A56" i="5"/>
  <c r="H335" i="3"/>
  <c r="J335" i="3" s="1"/>
  <c r="H336" i="3"/>
  <c r="J336" i="3" s="1"/>
  <c r="J338" i="3"/>
  <c r="H339" i="3"/>
  <c r="J339" i="3" s="1"/>
  <c r="H340" i="3"/>
  <c r="J340" i="3" s="1"/>
  <c r="H341" i="3"/>
  <c r="J341" i="3" s="1"/>
  <c r="H342" i="3"/>
  <c r="J342" i="3" s="1"/>
  <c r="H344" i="3"/>
  <c r="J345" i="3"/>
  <c r="H346" i="3"/>
  <c r="J346" i="3" s="1"/>
  <c r="H347" i="3"/>
  <c r="J347" i="3" s="1"/>
  <c r="H348" i="3"/>
  <c r="J348" i="3" s="1"/>
  <c r="H350" i="3"/>
  <c r="J351" i="3"/>
  <c r="H352" i="3"/>
  <c r="J352" i="3" s="1"/>
  <c r="H353" i="3"/>
  <c r="J353" i="3" s="1"/>
  <c r="H355" i="3"/>
  <c r="H356" i="3"/>
  <c r="J356" i="3" s="1"/>
  <c r="H357" i="3"/>
  <c r="J357" i="3" s="1"/>
  <c r="H359" i="3"/>
  <c r="H360" i="3"/>
  <c r="J360" i="3" s="1"/>
  <c r="H361" i="3"/>
  <c r="J361" i="3" s="1"/>
  <c r="H362" i="3"/>
  <c r="J362" i="3" s="1"/>
  <c r="H364" i="3"/>
  <c r="J365" i="3"/>
  <c r="H366" i="3"/>
  <c r="J366" i="3" s="1"/>
  <c r="J367" i="3"/>
  <c r="H368" i="3"/>
  <c r="J368" i="3" s="1"/>
  <c r="J369" i="3"/>
  <c r="J370" i="3"/>
  <c r="J371" i="3"/>
  <c r="J377" i="3"/>
  <c r="J378" i="3"/>
  <c r="J379" i="3"/>
  <c r="J380" i="3"/>
  <c r="H327" i="2"/>
  <c r="H328" i="2"/>
  <c r="H330" i="2"/>
  <c r="H331" i="2"/>
  <c r="H332" i="2"/>
  <c r="H333" i="2"/>
  <c r="H334" i="2"/>
  <c r="H336" i="2"/>
  <c r="H337" i="2"/>
  <c r="H338" i="2"/>
  <c r="H339" i="2"/>
  <c r="H340" i="2"/>
  <c r="H342" i="2"/>
  <c r="H343" i="2"/>
  <c r="H344" i="2"/>
  <c r="H345" i="2"/>
  <c r="H347" i="2"/>
  <c r="H348" i="2"/>
  <c r="H349" i="2"/>
  <c r="H351" i="2"/>
  <c r="H352" i="2"/>
  <c r="H353" i="2"/>
  <c r="H354" i="2"/>
  <c r="H356" i="2"/>
  <c r="H357" i="2"/>
  <c r="H358" i="2"/>
  <c r="H359" i="2"/>
  <c r="H360" i="2"/>
  <c r="H361" i="2"/>
  <c r="H362" i="2"/>
  <c r="H363" i="2"/>
  <c r="H365" i="2"/>
  <c r="H366" i="2"/>
  <c r="H368" i="2"/>
  <c r="H369" i="2"/>
  <c r="H370" i="2"/>
  <c r="H371" i="2"/>
  <c r="H372" i="2"/>
  <c r="H374" i="2"/>
  <c r="H325" i="2"/>
  <c r="G382" i="3"/>
  <c r="G383" i="3" s="1"/>
  <c r="G376" i="3"/>
  <c r="G381" i="3" s="1"/>
  <c r="G373" i="3"/>
  <c r="G375" i="3" s="1"/>
  <c r="G364" i="3"/>
  <c r="G372" i="3" s="1"/>
  <c r="G359" i="3"/>
  <c r="G363" i="3" s="1"/>
  <c r="G355" i="3"/>
  <c r="G358" i="3" s="1"/>
  <c r="G350" i="3"/>
  <c r="G354" i="3" s="1"/>
  <c r="G344" i="3"/>
  <c r="G349" i="3" s="1"/>
  <c r="G333" i="3"/>
  <c r="A384" i="3"/>
  <c r="A332" i="3"/>
  <c r="E320" i="3"/>
  <c r="C320" i="3"/>
  <c r="C319" i="3"/>
  <c r="E318" i="3"/>
  <c r="C318" i="3"/>
  <c r="C317" i="3"/>
  <c r="B316" i="3"/>
  <c r="A310" i="3"/>
  <c r="L255" i="2"/>
  <c r="M201" i="2"/>
  <c r="G374" i="2"/>
  <c r="G375" i="2" s="1"/>
  <c r="A376" i="2"/>
  <c r="G368" i="2"/>
  <c r="G373" i="2" s="1"/>
  <c r="G365" i="2"/>
  <c r="G367" i="2" s="1"/>
  <c r="G356" i="2"/>
  <c r="G364" i="2" s="1"/>
  <c r="G351" i="2"/>
  <c r="G355" i="2" s="1"/>
  <c r="G347" i="2"/>
  <c r="G350" i="2" s="1"/>
  <c r="G342" i="2"/>
  <c r="G346" i="2" s="1"/>
  <c r="G336" i="2"/>
  <c r="G341" i="2" s="1"/>
  <c r="G327" i="2"/>
  <c r="G335" i="2" s="1"/>
  <c r="G325" i="2"/>
  <c r="G326" i="2" s="1"/>
  <c r="A324" i="2"/>
  <c r="B305" i="2"/>
  <c r="B304" i="2"/>
  <c r="G259" i="3"/>
  <c r="G290" i="3"/>
  <c r="G286" i="2"/>
  <c r="G271" i="2"/>
  <c r="G284" i="2" s="1"/>
  <c r="G256" i="2"/>
  <c r="G270" i="2" s="1"/>
  <c r="G220" i="2"/>
  <c r="G255" i="2" s="1"/>
  <c r="G215" i="3"/>
  <c r="G223" i="3" s="1"/>
  <c r="G211" i="2"/>
  <c r="G219" i="2" s="1"/>
  <c r="G206" i="3"/>
  <c r="G214" i="3" s="1"/>
  <c r="G202" i="2"/>
  <c r="G210" i="2" s="1"/>
  <c r="G180" i="3"/>
  <c r="G205" i="3" s="1"/>
  <c r="G176" i="2"/>
  <c r="G201" i="2" s="1"/>
  <c r="G157" i="3"/>
  <c r="G177" i="3" s="1"/>
  <c r="G153" i="2"/>
  <c r="G173" i="2" s="1"/>
  <c r="G141" i="3"/>
  <c r="G156" i="3" s="1"/>
  <c r="G137" i="2"/>
  <c r="B36" i="5"/>
  <c r="A36" i="5"/>
  <c r="A33" i="5"/>
  <c r="H285" i="2"/>
  <c r="H272" i="2"/>
  <c r="A121" i="2"/>
  <c r="B117" i="2"/>
  <c r="B116" i="2"/>
  <c r="J820" i="2" l="1"/>
  <c r="J822" i="2" s="1"/>
  <c r="F869" i="2"/>
  <c r="G869" i="2" s="1"/>
  <c r="J623" i="3"/>
  <c r="J458" i="3"/>
  <c r="J459" i="3" s="1"/>
  <c r="J460" i="3" s="1"/>
  <c r="G128" i="4" s="1"/>
  <c r="J427" i="3"/>
  <c r="J520" i="3"/>
  <c r="J521" i="3" s="1"/>
  <c r="J522" i="3" s="1"/>
  <c r="J496" i="3"/>
  <c r="J376" i="3"/>
  <c r="J381" i="3" s="1"/>
  <c r="J359" i="3"/>
  <c r="J363" i="3" s="1"/>
  <c r="J364" i="3"/>
  <c r="J372" i="3" s="1"/>
  <c r="J344" i="3"/>
  <c r="J349" i="3" s="1"/>
  <c r="J350" i="3"/>
  <c r="J354" i="3" s="1"/>
  <c r="J333" i="3"/>
  <c r="G334" i="3"/>
  <c r="L331" i="3" s="1"/>
  <c r="J355" i="3"/>
  <c r="J358" i="3" s="1"/>
  <c r="J382" i="3"/>
  <c r="J383" i="3" s="1"/>
  <c r="J373" i="3"/>
  <c r="J375" i="3" s="1"/>
  <c r="J343" i="3"/>
  <c r="J323" i="2"/>
  <c r="L323" i="2" s="1"/>
  <c r="A287" i="2"/>
  <c r="H283" i="2"/>
  <c r="H282" i="2"/>
  <c r="H281" i="2"/>
  <c r="H280" i="2"/>
  <c r="H279" i="2"/>
  <c r="H278" i="2"/>
  <c r="H277" i="2"/>
  <c r="H276" i="2"/>
  <c r="H275" i="2"/>
  <c r="H274" i="2"/>
  <c r="H273" i="2"/>
  <c r="H271" i="2"/>
  <c r="H269" i="2"/>
  <c r="H268" i="2"/>
  <c r="H267" i="2"/>
  <c r="H266" i="2"/>
  <c r="H265" i="2"/>
  <c r="H264" i="2"/>
  <c r="H263" i="2"/>
  <c r="H262" i="2"/>
  <c r="H261" i="2"/>
  <c r="H260" i="2"/>
  <c r="H259" i="2"/>
  <c r="H258" i="2"/>
  <c r="H257" i="2"/>
  <c r="H256"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8" i="2"/>
  <c r="H217" i="2"/>
  <c r="H216" i="2"/>
  <c r="H215" i="2"/>
  <c r="H214" i="2"/>
  <c r="H213" i="2"/>
  <c r="H212" i="2"/>
  <c r="H211" i="2"/>
  <c r="H209" i="2"/>
  <c r="H208" i="2"/>
  <c r="H207" i="2"/>
  <c r="H206" i="2"/>
  <c r="H205" i="2"/>
  <c r="H204" i="2"/>
  <c r="H203" i="2"/>
  <c r="H202"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4" i="2"/>
  <c r="G174" i="2"/>
  <c r="G175" i="2" s="1"/>
  <c r="H172" i="2"/>
  <c r="H171" i="2"/>
  <c r="H170" i="2"/>
  <c r="H169" i="2"/>
  <c r="H168" i="2"/>
  <c r="H167" i="2"/>
  <c r="H166" i="2"/>
  <c r="H165" i="2"/>
  <c r="H164" i="2"/>
  <c r="H163" i="2"/>
  <c r="H162" i="2"/>
  <c r="H161" i="2"/>
  <c r="H160" i="2"/>
  <c r="H159" i="2"/>
  <c r="H158" i="2"/>
  <c r="H157" i="2"/>
  <c r="H156" i="2"/>
  <c r="H155" i="2"/>
  <c r="H154" i="2"/>
  <c r="H153" i="2"/>
  <c r="H151" i="2"/>
  <c r="H150" i="2"/>
  <c r="H149" i="2"/>
  <c r="H148" i="2"/>
  <c r="H147" i="2"/>
  <c r="H146" i="2"/>
  <c r="H145" i="2"/>
  <c r="H144" i="2"/>
  <c r="H143" i="2"/>
  <c r="H142" i="2"/>
  <c r="H141" i="2"/>
  <c r="H140" i="2"/>
  <c r="H139" i="2"/>
  <c r="H138" i="2"/>
  <c r="H137" i="2"/>
  <c r="G152" i="2"/>
  <c r="A136" i="2"/>
  <c r="J558" i="3" l="1"/>
  <c r="J624" i="3"/>
  <c r="J625" i="3" s="1"/>
  <c r="G163" i="4"/>
  <c r="E108" i="5"/>
  <c r="E83" i="5"/>
  <c r="J334" i="3"/>
  <c r="J332" i="3" s="1"/>
  <c r="J135" i="2"/>
  <c r="H279" i="3"/>
  <c r="J279" i="3" s="1"/>
  <c r="H264" i="3"/>
  <c r="J264" i="3" s="1"/>
  <c r="H202" i="3"/>
  <c r="J202" i="3" s="1"/>
  <c r="H203" i="3"/>
  <c r="J203" i="3" s="1"/>
  <c r="H204" i="3"/>
  <c r="J204" i="3" s="1"/>
  <c r="H174" i="3"/>
  <c r="J174" i="3" s="1"/>
  <c r="H175" i="3"/>
  <c r="J175" i="3" s="1"/>
  <c r="H173" i="3"/>
  <c r="J173" i="3" s="1"/>
  <c r="H268" i="3"/>
  <c r="J268" i="3" s="1"/>
  <c r="H272" i="3"/>
  <c r="J272" i="3" s="1"/>
  <c r="H273" i="3"/>
  <c r="J273" i="3" s="1"/>
  <c r="H285" i="3"/>
  <c r="J285" i="3" s="1"/>
  <c r="H286" i="3"/>
  <c r="J286" i="3" s="1"/>
  <c r="H287" i="3"/>
  <c r="J287" i="3" s="1"/>
  <c r="H283" i="3"/>
  <c r="J283" i="3" s="1"/>
  <c r="H284" i="3"/>
  <c r="J284" i="3" s="1"/>
  <c r="H255" i="3"/>
  <c r="J255" i="3" s="1"/>
  <c r="H256" i="3"/>
  <c r="J256" i="3" s="1"/>
  <c r="H257" i="3"/>
  <c r="J257" i="3" s="1"/>
  <c r="H258" i="3"/>
  <c r="J258" i="3" s="1"/>
  <c r="H267" i="3"/>
  <c r="J267" i="3" s="1"/>
  <c r="H269" i="3"/>
  <c r="J269" i="3" s="1"/>
  <c r="H270" i="3"/>
  <c r="J270" i="3" s="1"/>
  <c r="H221" i="3"/>
  <c r="J221" i="3" s="1"/>
  <c r="H222" i="3"/>
  <c r="J222" i="3" s="1"/>
  <c r="H247" i="3"/>
  <c r="J247" i="3" s="1"/>
  <c r="H248" i="3"/>
  <c r="J248" i="3" s="1"/>
  <c r="H249" i="3"/>
  <c r="J249" i="3" s="1"/>
  <c r="H250" i="3"/>
  <c r="J250" i="3" s="1"/>
  <c r="H251" i="3"/>
  <c r="J251" i="3" s="1"/>
  <c r="H252" i="3"/>
  <c r="J252" i="3" s="1"/>
  <c r="H196" i="3"/>
  <c r="J196" i="3" s="1"/>
  <c r="H197" i="3"/>
  <c r="J197" i="3" s="1"/>
  <c r="H198" i="3"/>
  <c r="J198" i="3" s="1"/>
  <c r="H199" i="3"/>
  <c r="J199" i="3" s="1"/>
  <c r="H153" i="3"/>
  <c r="J153" i="3" s="1"/>
  <c r="H154" i="3"/>
  <c r="J154" i="3" s="1"/>
  <c r="H155" i="3"/>
  <c r="J155" i="3" s="1"/>
  <c r="H168" i="3"/>
  <c r="J168" i="3" s="1"/>
  <c r="H169" i="3"/>
  <c r="J169" i="3" s="1"/>
  <c r="H170" i="3"/>
  <c r="J170" i="3" s="1"/>
  <c r="H171" i="3"/>
  <c r="J171" i="3" s="1"/>
  <c r="H172" i="3"/>
  <c r="J172" i="3" s="1"/>
  <c r="H289" i="3"/>
  <c r="J289" i="3" s="1"/>
  <c r="J290" i="3" s="1"/>
  <c r="H193" i="3"/>
  <c r="J193" i="3" s="1"/>
  <c r="H194" i="3"/>
  <c r="J194" i="3" s="1"/>
  <c r="H195" i="3"/>
  <c r="J195" i="3" s="1"/>
  <c r="H200" i="3"/>
  <c r="J200" i="3" s="1"/>
  <c r="H201" i="3"/>
  <c r="J201" i="3" s="1"/>
  <c r="H243" i="3"/>
  <c r="J243" i="3" s="1"/>
  <c r="H244" i="3"/>
  <c r="J244" i="3" s="1"/>
  <c r="H245" i="3"/>
  <c r="J245" i="3" s="1"/>
  <c r="H246" i="3"/>
  <c r="J246" i="3" s="1"/>
  <c r="H253" i="3"/>
  <c r="J253" i="3" s="1"/>
  <c r="H254" i="3"/>
  <c r="J254" i="3" s="1"/>
  <c r="H190" i="3"/>
  <c r="J190" i="3" s="1"/>
  <c r="H191" i="3"/>
  <c r="J191" i="3" s="1"/>
  <c r="H192" i="3"/>
  <c r="J192" i="3" s="1"/>
  <c r="H239" i="3"/>
  <c r="J239" i="3" s="1"/>
  <c r="H240" i="3"/>
  <c r="J240" i="3" s="1"/>
  <c r="H241" i="3"/>
  <c r="J241" i="3" s="1"/>
  <c r="H242" i="3"/>
  <c r="J242" i="3" s="1"/>
  <c r="H149" i="3"/>
  <c r="J149" i="3" s="1"/>
  <c r="H150" i="3"/>
  <c r="J150" i="3" s="1"/>
  <c r="H151" i="3"/>
  <c r="J151" i="3" s="1"/>
  <c r="H152" i="3"/>
  <c r="J152" i="3" s="1"/>
  <c r="H165" i="3"/>
  <c r="J165" i="3" s="1"/>
  <c r="H166" i="3"/>
  <c r="J166" i="3" s="1"/>
  <c r="H167" i="3"/>
  <c r="J167" i="3" s="1"/>
  <c r="H164" i="3"/>
  <c r="J164" i="3" s="1"/>
  <c r="H163" i="3"/>
  <c r="J163" i="3" s="1"/>
  <c r="H211" i="3"/>
  <c r="J211" i="3" s="1"/>
  <c r="H212" i="3"/>
  <c r="J212" i="3" s="1"/>
  <c r="H213" i="3"/>
  <c r="J213" i="3" s="1"/>
  <c r="H147" i="3"/>
  <c r="J147" i="3" s="1"/>
  <c r="H148" i="3"/>
  <c r="J148" i="3" s="1"/>
  <c r="H161" i="3"/>
  <c r="J161" i="3" s="1"/>
  <c r="H162" i="3"/>
  <c r="J162" i="3" s="1"/>
  <c r="H159" i="3"/>
  <c r="J159" i="3" s="1"/>
  <c r="H160" i="3"/>
  <c r="J160" i="3" s="1"/>
  <c r="H143" i="3"/>
  <c r="J143" i="3" s="1"/>
  <c r="H144" i="3"/>
  <c r="J144" i="3" s="1"/>
  <c r="H145" i="3"/>
  <c r="J145" i="3" s="1"/>
  <c r="H146" i="3"/>
  <c r="J146" i="3" s="1"/>
  <c r="G275" i="3"/>
  <c r="G288" i="3" s="1"/>
  <c r="G260" i="3"/>
  <c r="G274" i="3" s="1"/>
  <c r="G178" i="3"/>
  <c r="G179" i="3" s="1"/>
  <c r="A291" i="3"/>
  <c r="H282" i="3"/>
  <c r="J282" i="3" s="1"/>
  <c r="H281" i="3"/>
  <c r="J281" i="3" s="1"/>
  <c r="H280" i="3"/>
  <c r="J280" i="3" s="1"/>
  <c r="H278" i="3"/>
  <c r="J278" i="3" s="1"/>
  <c r="H277" i="3"/>
  <c r="J277" i="3" s="1"/>
  <c r="H276" i="3"/>
  <c r="J276" i="3" s="1"/>
  <c r="H275" i="3"/>
  <c r="H271" i="3"/>
  <c r="J271" i="3" s="1"/>
  <c r="H266" i="3"/>
  <c r="J266" i="3" s="1"/>
  <c r="H265" i="3"/>
  <c r="J265" i="3" s="1"/>
  <c r="H263" i="3"/>
  <c r="J263" i="3" s="1"/>
  <c r="H262" i="3"/>
  <c r="J262" i="3" s="1"/>
  <c r="H261" i="3"/>
  <c r="J261" i="3" s="1"/>
  <c r="H260" i="3"/>
  <c r="H238" i="3"/>
  <c r="J238" i="3" s="1"/>
  <c r="H237" i="3"/>
  <c r="J237" i="3" s="1"/>
  <c r="H236" i="3"/>
  <c r="J236" i="3" s="1"/>
  <c r="H235" i="3"/>
  <c r="J235" i="3" s="1"/>
  <c r="H234" i="3"/>
  <c r="J234" i="3" s="1"/>
  <c r="H233" i="3"/>
  <c r="J233" i="3" s="1"/>
  <c r="H232" i="3"/>
  <c r="J232" i="3" s="1"/>
  <c r="H231" i="3"/>
  <c r="J231" i="3" s="1"/>
  <c r="H230" i="3"/>
  <c r="J230" i="3" s="1"/>
  <c r="H229" i="3"/>
  <c r="J229" i="3" s="1"/>
  <c r="H228" i="3"/>
  <c r="J228" i="3" s="1"/>
  <c r="H227" i="3"/>
  <c r="J227" i="3" s="1"/>
  <c r="H226" i="3"/>
  <c r="J226" i="3" s="1"/>
  <c r="H225" i="3"/>
  <c r="J225" i="3" s="1"/>
  <c r="H224" i="3"/>
  <c r="H220" i="3"/>
  <c r="J220" i="3" s="1"/>
  <c r="H219" i="3"/>
  <c r="J219" i="3" s="1"/>
  <c r="H218" i="3"/>
  <c r="J218" i="3" s="1"/>
  <c r="H217" i="3"/>
  <c r="J217" i="3" s="1"/>
  <c r="H216" i="3"/>
  <c r="J216" i="3" s="1"/>
  <c r="H215" i="3"/>
  <c r="H210" i="3"/>
  <c r="J210" i="3" s="1"/>
  <c r="H209" i="3"/>
  <c r="J209" i="3" s="1"/>
  <c r="H208" i="3"/>
  <c r="J208" i="3" s="1"/>
  <c r="H207" i="3"/>
  <c r="J207" i="3" s="1"/>
  <c r="H206" i="3"/>
  <c r="H189" i="3"/>
  <c r="J189" i="3" s="1"/>
  <c r="H188" i="3"/>
  <c r="J188" i="3" s="1"/>
  <c r="H187" i="3"/>
  <c r="J187" i="3" s="1"/>
  <c r="H186" i="3"/>
  <c r="J186" i="3" s="1"/>
  <c r="H185" i="3"/>
  <c r="J185" i="3" s="1"/>
  <c r="H184" i="3"/>
  <c r="J184" i="3" s="1"/>
  <c r="H183" i="3"/>
  <c r="J183" i="3" s="1"/>
  <c r="H182" i="3"/>
  <c r="J182" i="3" s="1"/>
  <c r="H181" i="3"/>
  <c r="J181" i="3" s="1"/>
  <c r="H180" i="3"/>
  <c r="H178" i="3"/>
  <c r="H176" i="3"/>
  <c r="J176" i="3" s="1"/>
  <c r="H158" i="3"/>
  <c r="J158" i="3" s="1"/>
  <c r="H157" i="3"/>
  <c r="H142" i="3"/>
  <c r="J142" i="3" s="1"/>
  <c r="H141" i="3"/>
  <c r="A140" i="3"/>
  <c r="E128" i="3"/>
  <c r="C128" i="3"/>
  <c r="C127" i="3"/>
  <c r="E126" i="3"/>
  <c r="C126" i="3"/>
  <c r="C125" i="3"/>
  <c r="B124" i="3"/>
  <c r="A118" i="3"/>
  <c r="G51" i="2"/>
  <c r="G39" i="2"/>
  <c r="G36" i="2"/>
  <c r="G32" i="2"/>
  <c r="G58" i="2"/>
  <c r="G65" i="2"/>
  <c r="G82" i="2"/>
  <c r="G90" i="2"/>
  <c r="G98" i="2"/>
  <c r="H93" i="3"/>
  <c r="J93" i="3" s="1"/>
  <c r="H94" i="3"/>
  <c r="J94" i="3" s="1"/>
  <c r="H95" i="3"/>
  <c r="J95" i="3" s="1"/>
  <c r="H96" i="3"/>
  <c r="J96" i="3" s="1"/>
  <c r="H97" i="3"/>
  <c r="J97" i="3" s="1"/>
  <c r="H98" i="3"/>
  <c r="J98" i="3" s="1"/>
  <c r="H85" i="3"/>
  <c r="J85" i="3" s="1"/>
  <c r="H86" i="3"/>
  <c r="J86" i="3" s="1"/>
  <c r="H87" i="3"/>
  <c r="J87" i="3" s="1"/>
  <c r="H88" i="3"/>
  <c r="J88" i="3" s="1"/>
  <c r="H89" i="3"/>
  <c r="J89" i="3" s="1"/>
  <c r="H90" i="3"/>
  <c r="J90" i="3" s="1"/>
  <c r="H92" i="3"/>
  <c r="J92" i="3" s="1"/>
  <c r="H84" i="3"/>
  <c r="J84" i="3" s="1"/>
  <c r="G33" i="3"/>
  <c r="G37" i="3"/>
  <c r="G40" i="3"/>
  <c r="G52" i="3"/>
  <c r="G59" i="3"/>
  <c r="G66" i="3"/>
  <c r="G83" i="3"/>
  <c r="G91" i="3"/>
  <c r="G99" i="3"/>
  <c r="H68" i="3"/>
  <c r="J68" i="3" s="1"/>
  <c r="H69" i="3"/>
  <c r="J69" i="3" s="1"/>
  <c r="H70" i="3"/>
  <c r="J70" i="3" s="1"/>
  <c r="H71" i="3"/>
  <c r="J71" i="3" s="1"/>
  <c r="H72" i="3"/>
  <c r="J72" i="3" s="1"/>
  <c r="H73" i="3"/>
  <c r="J73" i="3" s="1"/>
  <c r="H74" i="3"/>
  <c r="J74" i="3" s="1"/>
  <c r="H75" i="3"/>
  <c r="J75" i="3" s="1"/>
  <c r="H76" i="3"/>
  <c r="J76" i="3" s="1"/>
  <c r="H77" i="3"/>
  <c r="J77" i="3" s="1"/>
  <c r="H78" i="3"/>
  <c r="J78" i="3" s="1"/>
  <c r="H79" i="3"/>
  <c r="J79" i="3" s="1"/>
  <c r="H80" i="3"/>
  <c r="J80" i="3" s="1"/>
  <c r="H81" i="3"/>
  <c r="J81" i="3" s="1"/>
  <c r="H82" i="3"/>
  <c r="J82" i="3" s="1"/>
  <c r="H64" i="3"/>
  <c r="H65" i="3"/>
  <c r="H42" i="3"/>
  <c r="J42" i="3" s="1"/>
  <c r="H43" i="3"/>
  <c r="J43" i="3" s="1"/>
  <c r="H44" i="3"/>
  <c r="J44" i="3" s="1"/>
  <c r="H45" i="3"/>
  <c r="J45" i="3" s="1"/>
  <c r="H46" i="3"/>
  <c r="J46" i="3" s="1"/>
  <c r="H47" i="3"/>
  <c r="J47" i="3" s="1"/>
  <c r="H48" i="3"/>
  <c r="J48" i="3" s="1"/>
  <c r="H49" i="3"/>
  <c r="J49" i="3" s="1"/>
  <c r="H50" i="3"/>
  <c r="J50" i="3" s="1"/>
  <c r="H51" i="3"/>
  <c r="J51" i="3" s="1"/>
  <c r="H54" i="3"/>
  <c r="H55" i="3"/>
  <c r="J55" i="3" s="1"/>
  <c r="H56" i="3"/>
  <c r="J56" i="3" s="1"/>
  <c r="H57" i="3"/>
  <c r="J57" i="3" s="1"/>
  <c r="H39" i="3"/>
  <c r="J39" i="3" s="1"/>
  <c r="H31" i="3"/>
  <c r="J31" i="3" s="1"/>
  <c r="H32" i="3"/>
  <c r="J32" i="3" s="1"/>
  <c r="H88" i="2"/>
  <c r="H96" i="2"/>
  <c r="G198" i="4" l="1"/>
  <c r="E132" i="5"/>
  <c r="J387" i="3"/>
  <c r="L139" i="3"/>
  <c r="J157" i="3"/>
  <c r="J177" i="3" s="1"/>
  <c r="L99" i="3"/>
  <c r="L101" i="3" s="1"/>
  <c r="J275" i="3"/>
  <c r="J288" i="3" s="1"/>
  <c r="J224" i="3"/>
  <c r="J259" i="3" s="1"/>
  <c r="J260" i="3"/>
  <c r="J274" i="3" s="1"/>
  <c r="J180" i="3"/>
  <c r="J205" i="3" s="1"/>
  <c r="J91" i="3"/>
  <c r="J99" i="3"/>
  <c r="J206" i="3"/>
  <c r="J214" i="3" s="1"/>
  <c r="J141" i="3"/>
  <c r="J215" i="3"/>
  <c r="J223" i="3" s="1"/>
  <c r="J178" i="3"/>
  <c r="J179" i="3" s="1"/>
  <c r="H79" i="2"/>
  <c r="H80" i="2"/>
  <c r="H81" i="2"/>
  <c r="H76" i="2"/>
  <c r="H77" i="2"/>
  <c r="H78" i="2"/>
  <c r="H75" i="2"/>
  <c r="H73" i="2"/>
  <c r="H74" i="2"/>
  <c r="H67" i="2"/>
  <c r="H68" i="2"/>
  <c r="H69" i="2"/>
  <c r="H70" i="2"/>
  <c r="H71" i="2"/>
  <c r="H72" i="2"/>
  <c r="H92" i="2"/>
  <c r="H93" i="2"/>
  <c r="H94" i="2"/>
  <c r="H95" i="2"/>
  <c r="H97" i="2"/>
  <c r="H91" i="2"/>
  <c r="H84" i="2"/>
  <c r="H85" i="2"/>
  <c r="H86" i="2"/>
  <c r="H87" i="2"/>
  <c r="H89" i="2"/>
  <c r="H83" i="2"/>
  <c r="J388" i="3" l="1"/>
  <c r="J390" i="3" s="1"/>
  <c r="G93" i="4" s="1"/>
  <c r="J156" i="3"/>
  <c r="J294" i="3" s="1"/>
  <c r="H61" i="2"/>
  <c r="H62" i="2"/>
  <c r="H63" i="2"/>
  <c r="H64" i="2"/>
  <c r="H54" i="2"/>
  <c r="H55" i="2"/>
  <c r="H56" i="2"/>
  <c r="H57" i="2"/>
  <c r="H42" i="2"/>
  <c r="H43" i="2"/>
  <c r="H44" i="2"/>
  <c r="H45" i="2"/>
  <c r="H46" i="2"/>
  <c r="H47" i="2"/>
  <c r="H38" i="2"/>
  <c r="A99" i="2"/>
  <c r="H66" i="2"/>
  <c r="H60" i="2"/>
  <c r="H59" i="2"/>
  <c r="H53" i="2"/>
  <c r="H52" i="2"/>
  <c r="H50" i="2"/>
  <c r="H49" i="2"/>
  <c r="H48" i="2"/>
  <c r="H41" i="2"/>
  <c r="H40" i="2"/>
  <c r="H37" i="2"/>
  <c r="H35" i="2"/>
  <c r="H34" i="2"/>
  <c r="H33" i="2"/>
  <c r="H31" i="2"/>
  <c r="H30" i="2"/>
  <c r="H29" i="2"/>
  <c r="A28" i="2"/>
  <c r="E58" i="5" l="1"/>
  <c r="J140" i="3"/>
  <c r="J295" i="3"/>
  <c r="J296" i="3" s="1"/>
  <c r="B9" i="2"/>
  <c r="B8" i="2"/>
  <c r="C17" i="3"/>
  <c r="E17" i="3"/>
  <c r="E15" i="3"/>
  <c r="C16" i="3"/>
  <c r="C15" i="3"/>
  <c r="C14" i="3"/>
  <c r="B13" i="3"/>
  <c r="A7" i="3"/>
  <c r="A10" i="5"/>
  <c r="E22" i="3"/>
  <c r="E889" i="3" s="1"/>
  <c r="C22" i="3"/>
  <c r="C889" i="3" l="1"/>
  <c r="C862" i="2"/>
  <c r="B733" i="2"/>
  <c r="B853" i="2"/>
  <c r="E735" i="2"/>
  <c r="E855" i="2"/>
  <c r="E737" i="2"/>
  <c r="E857" i="2"/>
  <c r="C734" i="2"/>
  <c r="C854" i="2"/>
  <c r="C735" i="2"/>
  <c r="C855" i="2"/>
  <c r="C737" i="2"/>
  <c r="C857" i="2"/>
  <c r="A727" i="2"/>
  <c r="A847" i="2"/>
  <c r="C736" i="2"/>
  <c r="C856" i="2"/>
  <c r="E654" i="3"/>
  <c r="E767" i="3"/>
  <c r="C767" i="3"/>
  <c r="C742" i="2"/>
  <c r="C654" i="3"/>
  <c r="C632" i="2"/>
  <c r="C532" i="2"/>
  <c r="E627" i="2"/>
  <c r="E527" i="2"/>
  <c r="C625" i="2"/>
  <c r="C525" i="2"/>
  <c r="C627" i="2"/>
  <c r="C527" i="2"/>
  <c r="B623" i="2"/>
  <c r="B523" i="2"/>
  <c r="E625" i="2"/>
  <c r="E525" i="2"/>
  <c r="C624" i="2"/>
  <c r="C524" i="2"/>
  <c r="A617" i="2"/>
  <c r="A517" i="2"/>
  <c r="C626" i="2"/>
  <c r="C526" i="2"/>
  <c r="C403" i="2"/>
  <c r="C468" i="2"/>
  <c r="E403" i="2"/>
  <c r="E468" i="2"/>
  <c r="E401" i="2"/>
  <c r="E466" i="2"/>
  <c r="C402" i="2"/>
  <c r="C467" i="2"/>
  <c r="C401" i="2"/>
  <c r="C466" i="2"/>
  <c r="C400" i="2"/>
  <c r="C465" i="2"/>
  <c r="B399" i="2"/>
  <c r="B464" i="2"/>
  <c r="A393" i="2"/>
  <c r="A458" i="2"/>
  <c r="E489" i="3"/>
  <c r="E551" i="3"/>
  <c r="C489" i="3"/>
  <c r="C473" i="2"/>
  <c r="C551" i="3"/>
  <c r="C408" i="2"/>
  <c r="C420" i="3"/>
  <c r="E325" i="3"/>
  <c r="E420" i="3"/>
  <c r="C14" i="2"/>
  <c r="C310" i="2"/>
  <c r="C122" i="2"/>
  <c r="C15" i="2"/>
  <c r="C311" i="2"/>
  <c r="C123" i="2"/>
  <c r="A7" i="2"/>
  <c r="A115" i="2"/>
  <c r="A303" i="2"/>
  <c r="C17" i="2"/>
  <c r="C125" i="2"/>
  <c r="C313" i="2"/>
  <c r="C130" i="2"/>
  <c r="C325" i="3"/>
  <c r="C22" i="2"/>
  <c r="C318" i="2"/>
  <c r="C16" i="2"/>
  <c r="C312" i="2"/>
  <c r="C124" i="2"/>
  <c r="B13" i="2"/>
  <c r="B309" i="2"/>
  <c r="B121" i="2"/>
  <c r="E15" i="2"/>
  <c r="E123" i="2"/>
  <c r="E311" i="2"/>
  <c r="E17" i="2"/>
  <c r="E313" i="2"/>
  <c r="E125" i="2"/>
  <c r="G59" i="4"/>
  <c r="E35" i="5"/>
  <c r="E22" i="2"/>
  <c r="E133" i="3"/>
  <c r="C133" i="3"/>
  <c r="B29" i="4"/>
  <c r="B13" i="5" s="1"/>
  <c r="E742" i="2" l="1"/>
  <c r="E862" i="2"/>
  <c r="E532" i="2"/>
  <c r="E632" i="2"/>
  <c r="E408" i="2"/>
  <c r="E473" i="2"/>
  <c r="E130" i="2"/>
  <c r="E318" i="2"/>
  <c r="H30" i="3"/>
  <c r="A12" i="3"/>
  <c r="A879" i="3" l="1"/>
  <c r="A852" i="2"/>
  <c r="A757" i="3"/>
  <c r="A732" i="2"/>
  <c r="A644" i="3"/>
  <c r="A622" i="2"/>
  <c r="A522" i="2"/>
  <c r="A479" i="3"/>
  <c r="A463" i="2"/>
  <c r="A541" i="3"/>
  <c r="A410" i="3"/>
  <c r="A398" i="2"/>
  <c r="A123" i="3"/>
  <c r="A12" i="2"/>
  <c r="A315" i="3"/>
  <c r="A308" i="2"/>
  <c r="A120" i="2"/>
  <c r="H41" i="3"/>
  <c r="H38" i="3"/>
  <c r="J38" i="3" s="1"/>
  <c r="J40" i="3" s="1"/>
  <c r="A13" i="2"/>
  <c r="A5" i="3"/>
  <c r="H67" i="3" l="1"/>
  <c r="J67" i="3" s="1"/>
  <c r="J83" i="3" s="1"/>
  <c r="H60" i="3"/>
  <c r="J60" i="3" s="1"/>
  <c r="J41" i="3"/>
  <c r="J52" i="3" s="1"/>
  <c r="H34" i="3"/>
  <c r="J34" i="3" s="1"/>
  <c r="J64" i="3"/>
  <c r="H63" i="3"/>
  <c r="J63" i="3" s="1"/>
  <c r="H58" i="3"/>
  <c r="J58" i="3" s="1"/>
  <c r="J30" i="3"/>
  <c r="H35" i="3"/>
  <c r="H61" i="3"/>
  <c r="H53" i="3"/>
  <c r="J53" i="3" s="1"/>
  <c r="J33" i="3" l="1"/>
  <c r="A13" i="5"/>
  <c r="A100" i="3" l="1"/>
  <c r="J65" i="3"/>
  <c r="H62" i="3"/>
  <c r="J62" i="3" s="1"/>
  <c r="J54" i="3"/>
  <c r="H36" i="3"/>
  <c r="J36" i="3" s="1"/>
  <c r="A29" i="3"/>
  <c r="J59" i="3" l="1"/>
  <c r="J35" i="3"/>
  <c r="J61" i="3"/>
  <c r="J66" i="3" s="1"/>
  <c r="J37" i="3" l="1"/>
  <c r="J103" i="3" s="1"/>
  <c r="J29" i="3" l="1"/>
  <c r="J104" i="3"/>
  <c r="J105" i="3" s="1"/>
  <c r="M29" i="3"/>
  <c r="G26" i="4" l="1"/>
  <c r="G28" i="4" s="1"/>
  <c r="G58" i="4" s="1"/>
  <c r="G61" i="4" s="1"/>
  <c r="G92" i="4" s="1"/>
  <c r="G95" i="4" s="1"/>
  <c r="G127" i="4" s="1"/>
  <c r="G130" i="4" s="1"/>
  <c r="G162" i="4" s="1"/>
  <c r="G165" i="4" s="1"/>
  <c r="G197" i="4" s="1"/>
  <c r="G200" i="4" s="1"/>
  <c r="G232" i="4" s="1"/>
  <c r="G235" i="4" s="1"/>
  <c r="G267" i="4" s="1"/>
  <c r="G270" i="4" s="1"/>
  <c r="G300" i="4" s="1"/>
  <c r="E12" i="5" l="1"/>
</calcChain>
</file>

<file path=xl/sharedStrings.xml><?xml version="1.0" encoding="utf-8"?>
<sst xmlns="http://schemas.openxmlformats.org/spreadsheetml/2006/main" count="4227" uniqueCount="321">
  <si>
    <t>Giằng ngang ringlock 1.2m</t>
  </si>
  <si>
    <t>CỘNG HÒA XÃ HỘI CHỦ NGHĨA VIỆT NAM</t>
  </si>
  <si>
    <t>Độc lập - Tự do - Hạnh phúc</t>
  </si>
  <si>
    <t>- Căn cứ tình hình giao nhận thực tế giữa 02 bên.</t>
  </si>
  <si>
    <t xml:space="preserve">Tài khoản ngân hàng số: </t>
  </si>
  <si>
    <t>Điện thoại:</t>
  </si>
  <si>
    <t>Mã số thuế:</t>
  </si>
  <si>
    <t>Người đại diện:</t>
  </si>
  <si>
    <t>BÊN CHO THUÊ (BÊN B): CÔNG TY CỔ PHẦN TẬP ĐOÀN THIẾT BỊ XÂY DỰNG TP</t>
  </si>
  <si>
    <t>02433250143</t>
  </si>
  <si>
    <t>Tài khoản ngân hàng số:</t>
  </si>
  <si>
    <t>8331100096008</t>
  </si>
  <si>
    <t>STT</t>
  </si>
  <si>
    <t>Tên thiết bị</t>
  </si>
  <si>
    <t>Ngày tính thời gian</t>
  </si>
  <si>
    <t>Số lượng tồn đầu kỳ</t>
  </si>
  <si>
    <t>Số lượng phát sinh trong kỳ nhận (+) trả (-)</t>
  </si>
  <si>
    <t>Thời gian thuê</t>
  </si>
  <si>
    <t>Ghi chú</t>
  </si>
  <si>
    <t>0105204346</t>
  </si>
  <si>
    <t>Cộng</t>
  </si>
  <si>
    <t>ĐẠI DIỆN BÊN THUÊ</t>
  </si>
  <si>
    <t>ĐẠI DIỆN BÊN CHO THUÊ</t>
  </si>
  <si>
    <t>Đơn vị tính</t>
  </si>
  <si>
    <t>Cái</t>
  </si>
  <si>
    <t>Thành tiền thuê</t>
  </si>
  <si>
    <t>Đơn giá thuê
(vnđ/cái)</t>
  </si>
  <si>
    <t>Tổng tiền thuê đã bao gồm thuế GTGT</t>
  </si>
  <si>
    <t>BIÊN BẢN ĐỐI CHIẾU CÔNG NỢ</t>
  </si>
  <si>
    <t>BIÊN BẢN ĐỐI CHIẾU GIÁ TRỊ THUÊ THIẾT BỊ</t>
  </si>
  <si>
    <t>Nội dung</t>
  </si>
  <si>
    <t>Giá trị (vnđ)</t>
  </si>
  <si>
    <t>Giá trị bên A nợ bên B đầu kỳ</t>
  </si>
  <si>
    <t>Giá trị bên A thanh toán cho bên B trong kỳ</t>
  </si>
  <si>
    <t>Giá trị bên A nợ bên B cuối kỳ</t>
  </si>
  <si>
    <t>CÔNG TY CỔ PHẦN TẬP ĐOÀN
THIẾT BỊ XÂY DỰNG TP</t>
  </si>
  <si>
    <t>CỘNG HOÀ XÃ HỘI CHỦ NGHĨA VIỆT NAM</t>
  </si>
  <si>
    <t>GIẤY ĐỀ NGHỊ THANH TOÁN</t>
  </si>
  <si>
    <t>Công ty Cổ phần Tập đoàn Thiết bị xây dựng TP xin gửi tới Quý Công ty lời chào trân trọng và hợp tác.</t>
  </si>
  <si>
    <t xml:space="preserve"> - Giá trị đề nghị thanh toán:</t>
  </si>
  <si>
    <t>đồng.</t>
  </si>
  <si>
    <t xml:space="preserve"> - Đơn vị thụ hưởng:</t>
  </si>
  <si>
    <t>Công ty Cổ phần Tập đoàn Thiết bị Xây dựng TP</t>
  </si>
  <si>
    <t xml:space="preserve"> - Địa chỉ:</t>
  </si>
  <si>
    <t xml:space="preserve"> - Tài khoản số:</t>
  </si>
  <si>
    <t xml:space="preserve">       Xin trân trọng cảm ơn!</t>
  </si>
  <si>
    <t xml:space="preserve">       Công ty Cổ phần Tập đoàn Thiết bị xây dựng TP kính đề nghị Quý công ty thanh toán số tiền trên cho chúng tôi theo thông tin dưới đây:</t>
  </si>
  <si>
    <t>Địa chỉ: Thôn Trung, xã Liên Trung, huyện Đan Phượng, Thành phố Hà Nội, Việt Nam</t>
  </si>
  <si>
    <t>Giá trị bên A đã tạm ứng cho bên B</t>
  </si>
  <si>
    <t>Cây</t>
  </si>
  <si>
    <t>Giáo ringlock 2.5m Kẽm</t>
  </si>
  <si>
    <t xml:space="preserve">- Dự án: </t>
  </si>
  <si>
    <t xml:space="preserve">- Địa chỉ: </t>
  </si>
  <si>
    <t>Hôm nay, ngày ……tháng……năm 2024, chúng tôi gồm:</t>
  </si>
  <si>
    <t>Tiền thuế GTGT 8%</t>
  </si>
  <si>
    <t>Thiết bị vật tư</t>
  </si>
  <si>
    <t>Vận chuyển</t>
  </si>
  <si>
    <t>Chuyến</t>
  </si>
  <si>
    <t>Vận chuyển xe sơ mi 30 tấn</t>
  </si>
  <si>
    <t>- Địa chỉ:</t>
  </si>
  <si>
    <t>Biên bản lập thành 04 bản có giá trị như nhau. Mỗi bên giữ 02 bản.</t>
  </si>
  <si>
    <t>Ngày nhận/trả trên phiếu</t>
  </si>
  <si>
    <t>Thời gian thuê thực tế</t>
  </si>
  <si>
    <t xml:space="preserve">Vận chuyển xe sơ mi 30 tấn </t>
  </si>
  <si>
    <t xml:space="preserve">Địa chỉ: </t>
  </si>
  <si>
    <r>
      <rPr>
        <b/>
        <sz val="12"/>
        <color theme="1"/>
        <rFont val="Times New Roman"/>
        <family val="1"/>
      </rPr>
      <t>Địa chỉ:</t>
    </r>
    <r>
      <rPr>
        <sz val="12"/>
        <color theme="1"/>
        <rFont val="Times New Roman"/>
        <family val="1"/>
      </rPr>
      <t xml:space="preserve"> </t>
    </r>
  </si>
  <si>
    <t>Bà Đỗ Thị Hường</t>
  </si>
  <si>
    <t>Lô B2, KCN Liên Hà Thái, Thái Thụy, Thái Bình</t>
  </si>
  <si>
    <t>BÊN THUÊ (BÊN A): CÔNG TY CỔ PHẦN CƠ KHÍ VÀ XÂY DỰNG MINH TRƯỜNG</t>
  </si>
  <si>
    <t>Địa chỉ: Số 10 Lô BD2, khu đô thị PG, Xã An Đồng, Huyện An Dương, TP Hải Phòng, Việt Nam</t>
  </si>
  <si>
    <t>0225 629 4566</t>
  </si>
  <si>
    <t>Ông Nguyễn Văn Hùng</t>
  </si>
  <si>
    <t xml:space="preserve">Vận chuyển xe thùng 15 tấn </t>
  </si>
  <si>
    <t>Vận chuyển xe thùng 15 tấn</t>
  </si>
  <si>
    <t>- Căn cứ Hợp đồng nguyên tác số 1010/HĐKT2024/TP-MINHTRUONG ký ngày 10/10/2024 giữa Công ty Cổ phần Cơ khí và Xây dựng Minh Trường và Công ty Cổ phần Tập đoàn Thiết bị xây dựng TP về việc cho thuê thiết bị xây dựng.</t>
  </si>
  <si>
    <t>Nhà xưởng Nam Tài</t>
  </si>
  <si>
    <t>0201803832</t>
  </si>
  <si>
    <t>29H-720.49</t>
  </si>
  <si>
    <t>15H-067.03</t>
  </si>
  <si>
    <t>15E-017.65</t>
  </si>
  <si>
    <t>29C-070.91</t>
  </si>
  <si>
    <t>29H-888.96</t>
  </si>
  <si>
    <t>29H-782.22</t>
  </si>
  <si>
    <t>29H-672.55</t>
  </si>
  <si>
    <t>15E-013.70</t>
  </si>
  <si>
    <t>BẢNG THEO DÕI VẬN CHUYỂN</t>
  </si>
  <si>
    <t>Ngày</t>
  </si>
  <si>
    <t>Loại xe</t>
  </si>
  <si>
    <t>Biển số xe</t>
  </si>
  <si>
    <t>Giao hàng công trình</t>
  </si>
  <si>
    <t>Sơ mi 30 tấn</t>
  </si>
  <si>
    <t>15H-064.54</t>
  </si>
  <si>
    <t>Xe TP</t>
  </si>
  <si>
    <t>14H-023.02</t>
  </si>
  <si>
    <t>15H-092.86</t>
  </si>
  <si>
    <t>Xe Minh Trường</t>
  </si>
  <si>
    <t>29K-046.43</t>
  </si>
  <si>
    <t>Cẩu 15 tấn</t>
  </si>
  <si>
    <t>15C-146.66</t>
  </si>
  <si>
    <t>29C-482.69</t>
  </si>
  <si>
    <t>15H-008.81</t>
  </si>
  <si>
    <t>Từ 11/10/2024 đến 25/10/2024</t>
  </si>
  <si>
    <t>Từ 26/10/2024 đến 25/11/2024</t>
  </si>
  <si>
    <t>Thùng 07 tấn</t>
  </si>
  <si>
    <t>Từ 26/11/2024 đến 25/12/2024</t>
  </si>
  <si>
    <t>15E-345.78</t>
  </si>
  <si>
    <t>Từ 26/12/2024 đến 20/01/2025</t>
  </si>
  <si>
    <t>29H-854.18</t>
  </si>
  <si>
    <t>Công trình trả hàng</t>
  </si>
  <si>
    <t>Thùng 10 tấn</t>
  </si>
  <si>
    <t>15C-357.10</t>
  </si>
  <si>
    <t>15H-056.64</t>
  </si>
  <si>
    <t>Thùng 20 tấn</t>
  </si>
  <si>
    <t>Hôm nay, ngày ……tháng……năm 2025, chúng tôi gồm:</t>
  </si>
  <si>
    <t>Hà Nội, ngày …. tháng …. năm 2025</t>
  </si>
  <si>
    <t>Địa chỉ: Thôn Trung, xã Ô Diên, Thành phố Hà Nội, Việt Nam</t>
  </si>
  <si>
    <t>Ông Hữu Minh Tiến</t>
  </si>
  <si>
    <t>Chức vụ: Phó Tổng giám đốc</t>
  </si>
  <si>
    <t>Giáo ringlock 2.0m Kẽm</t>
  </si>
  <si>
    <t xml:space="preserve">Ông Hữu Minh Tiến </t>
  </si>
  <si>
    <t>Tháng 11/2025</t>
  </si>
  <si>
    <t>Chức vụ: Giám đốc</t>
  </si>
  <si>
    <t>Giáo ringlock 1.5m Kẽm</t>
  </si>
  <si>
    <t>Bằng chữ:</t>
  </si>
  <si>
    <t>Thôn Trung, Xã Ô Diên, Thành phố Hà Nội</t>
  </si>
  <si>
    <t>Địa chỉ:</t>
  </si>
  <si>
    <t>Giằng ngang ringlock 0.6m</t>
  </si>
  <si>
    <t>Giằng chéo ringlock 1610mm</t>
  </si>
  <si>
    <t>Giằng chéo ringlock 1870mm</t>
  </si>
  <si>
    <t>Tính cuối kỳ</t>
  </si>
  <si>
    <t>8331100096008, tại Ngân hàng Thương mại cổ phần Quân đội - Chi nhánh Hoàng Quốc Việt</t>
  </si>
  <si>
    <t>Tại Ngân hàng Thương mại cổ phần Quân đội - Chi nhánh Hoàng Quốc Việt</t>
  </si>
  <si>
    <t>BIÊN BẢN ĐỐI CHIẾU KHỐI LƯỢNG THUÊ THIẾT BỊ</t>
  </si>
  <si>
    <t>Kính gửi: CÔNG TY TNHH XÂY DỰNG VIỆT PANEL</t>
  </si>
  <si>
    <t>BÊN THUÊ (BÊN A): CÔNG TY TNHH XÂY DỰNG VIỆT PANEL</t>
  </si>
  <si>
    <t>- Căn cứ Hợp đồng kinh tế số 0412/HĐKT2025/TP-VIETPANEL ký ngày 04/12/2025 giữa Công ty TNHH xây dựng Việt Panel và Công ty Cổ phần Tập đoàn Thiết bị xây dựng TP về việc cho thuê thiết bị xây dựng.</t>
  </si>
  <si>
    <t>- Căn cứ Biên bản đối chiếu giá trị thuê thiết bị tháng 12/2025;</t>
  </si>
  <si>
    <t>Thôn Đông Phù, Xã Tiên Du, Tỉnh Bắc Ninh, Việt Nam</t>
  </si>
  <si>
    <t>0222 6535 699</t>
  </si>
  <si>
    <t>2300856941</t>
  </si>
  <si>
    <t>Tại MB Ngân hàng quân đội</t>
  </si>
  <si>
    <t>Ông Lưu Đình Cải</t>
  </si>
  <si>
    <t>Hai bên cùng nhau đối chiếu công nợ tiền thuê thiết bị dự án Senci, KCN Phúc Điền, Hải Dương như sau:</t>
  </si>
  <si>
    <t>Giá trị tiền thuê phát sinh tháng 12/2025</t>
  </si>
  <si>
    <t>Senci</t>
  </si>
  <si>
    <t>KCN Phúc Điền, Hải Dương</t>
  </si>
  <si>
    <t>- Căn cứ Biên bản đối chiếu khối lượng thuê thiết bị tháng 12/2025</t>
  </si>
  <si>
    <t>Tháng 12/2025</t>
  </si>
  <si>
    <t>Giáo ringlock 1.0m Kẽm</t>
  </si>
  <si>
    <t>Giằng ngang ringlock 0.9m</t>
  </si>
  <si>
    <t>Kích U Ø38*(3,0ly - 4,5ly), L=600mm</t>
  </si>
  <si>
    <t>Kích chân Ø38*(3,0ly - 4,5ly), L=600mm</t>
  </si>
  <si>
    <t>Hai bên đối chiếu xác nhận khối lượng thuê thiết bị từ ngày 20/12/2025 đến ngày 25/12/2025 như sau:</t>
  </si>
  <si>
    <t>Giằng ngang ringlock 1.2m nhúng nóng</t>
  </si>
  <si>
    <t>Thuê QM</t>
  </si>
  <si>
    <t>Hai bên đối chiếu xác nhận giá trị thuê thiết bị từ ngày 20/12/2025 đến ngày 25/12/2025 như sau:</t>
  </si>
  <si>
    <t>Tổng tiền thuê tháng 12/2025</t>
  </si>
  <si>
    <t>Thôn Trung, xã Ô Diên, Thành phố Hà Nội, Việt Nam</t>
  </si>
  <si>
    <t>Ba mươi triệu, bảy trăm sáu mươi tám nghìn, không trăm hai mươi lăm đồng./.</t>
  </si>
  <si>
    <t>Palet</t>
  </si>
  <si>
    <t>Tháng 01/2026</t>
  </si>
  <si>
    <t>- Căn cứ Biên bản đối chiếu khối lượng thuê thiết bị tháng 01/2026</t>
  </si>
  <si>
    <t>Hai bên đối chiếu xác nhận giá trị thuê thiết bị từ ngày 26/12/2025 đến ngày 25/01/2026 như sau:</t>
  </si>
  <si>
    <t>Tổng tiền thuê tháng 01/2026</t>
  </si>
  <si>
    <t>15C 200.43</t>
  </si>
  <si>
    <t>15C 160.11</t>
  </si>
  <si>
    <t>29C 382.79</t>
  </si>
  <si>
    <t>29K 073.73</t>
  </si>
  <si>
    <t>15H 224.52</t>
  </si>
  <si>
    <t>15H 145.57</t>
  </si>
  <si>
    <t>15H 158.52</t>
  </si>
  <si>
    <t>Khóa giáo xoay D48</t>
  </si>
  <si>
    <t>Hôm nay, ngày ……tháng……năm 2026, chúng tôi gồm:</t>
  </si>
  <si>
    <t>Hai bên đối chiếu xác nhận khối lượng thuê thiết bị từ ngày 26/12/2025 đến ngày 25/01/2026 như sau:</t>
  </si>
  <si>
    <t>Giá trị tiền thuê phát sinh tháng 01/2026</t>
  </si>
  <si>
    <t>Hà Nội, ngày …. tháng …. năm 2026</t>
  </si>
  <si>
    <t>- Căn cứ Biên bản đối chiếu giá trị thuê thiết bị tháng 01/2026;</t>
  </si>
  <si>
    <t xml:space="preserve"> - Giá trị đề nghị thanh toán trong kỳ:</t>
  </si>
  <si>
    <t>15H 175,21</t>
  </si>
  <si>
    <t>29C 441,80</t>
  </si>
  <si>
    <t>29C 37847</t>
  </si>
  <si>
    <t>15H 02391</t>
  </si>
  <si>
    <t>15H 17521</t>
  </si>
  <si>
    <t>15C 18346</t>
  </si>
  <si>
    <t>29C 63075</t>
  </si>
  <si>
    <t>29H 93725</t>
  </si>
  <si>
    <t>15H14493</t>
  </si>
  <si>
    <t>15H 15807</t>
  </si>
  <si>
    <t>15H 14557</t>
  </si>
  <si>
    <t>15H 15563</t>
  </si>
  <si>
    <t>15H 15852</t>
  </si>
  <si>
    <t>29H 96412</t>
  </si>
  <si>
    <t>15H 01099</t>
  </si>
  <si>
    <t>15C 15444</t>
  </si>
  <si>
    <t>15C 12462</t>
  </si>
  <si>
    <t>15H 22632</t>
  </si>
  <si>
    <t>15H 15217</t>
  </si>
  <si>
    <t>Tám trăm tám mươi tư triệu, bốn trăm chín mươi nghìn, bảy trăm linh bảy đồng./.</t>
  </si>
  <si>
    <t>Chín trăm mười lăm triệu, hai trăm năm mươi tám nghìn, bảy trăm ba mươi hai đồng./.</t>
  </si>
  <si>
    <t>29k 07373</t>
  </si>
  <si>
    <t>STT 2</t>
  </si>
  <si>
    <t>Phiếu 1</t>
  </si>
  <si>
    <t>15c 20043</t>
  </si>
  <si>
    <t>Phiếu 3</t>
  </si>
  <si>
    <t>15c 16011</t>
  </si>
  <si>
    <t>29c 38279</t>
  </si>
  <si>
    <t>Phiếu 4</t>
  </si>
  <si>
    <t>Phiếu 5</t>
  </si>
  <si>
    <t>15h 15807</t>
  </si>
  <si>
    <t>Phiếu 6</t>
  </si>
  <si>
    <t>15h 22452</t>
  </si>
  <si>
    <t>Phiếu 7</t>
  </si>
  <si>
    <t>15h 15852</t>
  </si>
  <si>
    <t>Phiếu 8</t>
  </si>
  <si>
    <t>Phiếu 9</t>
  </si>
  <si>
    <t>Phiếu 10</t>
  </si>
  <si>
    <t>Phiếu 11</t>
  </si>
  <si>
    <t>Phiếu 12</t>
  </si>
  <si>
    <t>Phiếu 13</t>
  </si>
  <si>
    <t>Phiếu 14</t>
  </si>
  <si>
    <t>Phiếu 15</t>
  </si>
  <si>
    <t>Phiếu 16</t>
  </si>
  <si>
    <t>Phiếu 17</t>
  </si>
  <si>
    <t>Phiếu 18</t>
  </si>
  <si>
    <t>Phiếu 19</t>
  </si>
  <si>
    <t>Phiếu 20</t>
  </si>
  <si>
    <t>Phiếu 21</t>
  </si>
  <si>
    <t>Phiếu 22</t>
  </si>
  <si>
    <t>Phiếu 23</t>
  </si>
  <si>
    <t>Phiếu 24</t>
  </si>
  <si>
    <t>Phiếu 25</t>
  </si>
  <si>
    <t>Phiếu 26</t>
  </si>
  <si>
    <t>Phiếu 27</t>
  </si>
  <si>
    <t>Phiếu 28</t>
  </si>
  <si>
    <t>Phiếu 29</t>
  </si>
  <si>
    <t>Phiếu 30</t>
  </si>
  <si>
    <t>Phiếu 31</t>
  </si>
  <si>
    <t>Phiếu 32</t>
  </si>
  <si>
    <t>Phiếu 33</t>
  </si>
  <si>
    <t>Phiếu 34</t>
  </si>
  <si>
    <t>Phiếu 35</t>
  </si>
  <si>
    <t>Phiếu 36</t>
  </si>
  <si>
    <t>Phiếu 37</t>
  </si>
  <si>
    <t>Phiếu 38</t>
  </si>
  <si>
    <t>Đã check khớp đủ với phiếu</t>
  </si>
  <si>
    <t>Tháng 02/2026</t>
  </si>
  <si>
    <t>Hai bên đối chiếu xác nhận khối lượng thuê thiết bị từ ngày 26/01/2026 đến ngày 25/02/2026 như sau:</t>
  </si>
  <si>
    <t>15H 158.07</t>
  </si>
  <si>
    <t>15H 055.56</t>
  </si>
  <si>
    <t>15H 121.43</t>
  </si>
  <si>
    <t>15H 069.50</t>
  </si>
  <si>
    <t>- Căn cứ Biên bản đối chiếu khối lượng thuê thiết bị tháng 02/2026</t>
  </si>
  <si>
    <t>Hai bên đối chiếu xác nhận giá trị thuê thiết bị từ ngày 26/01/2026 đến ngày 25/02/2026 như sau:</t>
  </si>
  <si>
    <t>Đã giảm 15 ngày nghỉ lễ tết nguyên đán 2026</t>
  </si>
  <si>
    <t>Tổng tiền thuê tháng 02/2026</t>
  </si>
  <si>
    <t>Giá trị tiền thuê phát sinh tháng 02/2026</t>
  </si>
  <si>
    <t>- Căn cứ Biên bản đối chiếu giá trị thuê thiết bị tháng 02/2026;</t>
  </si>
  <si>
    <t>Cty TP gửi tặng quà hội nghị NCC</t>
  </si>
  <si>
    <t>Sáu trăm năm mươi tám triệu, bảy trăm năm mươi chín nghìn, tám trăm tám mươi ba đồng./.</t>
  </si>
  <si>
    <t>Một tỷ, năm trăm bốn mươi ba triệu, hai trăm năm mươi nghìn, năm trăm chín mươi đồng./.</t>
  </si>
  <si>
    <t>về ngày 27/1</t>
  </si>
  <si>
    <t>về ngày 08/2</t>
  </si>
  <si>
    <t>ok</t>
  </si>
  <si>
    <t>- Căn cứ Biên bản đối chiếu giá trị thuê thiết bị tháng 03/2026;</t>
  </si>
  <si>
    <t>Tháng 03/2026</t>
  </si>
  <si>
    <t>Giá trị tiền thuê phát sinh tháng 03/2026</t>
  </si>
  <si>
    <t>- Căn cứ Biên bản đối chiếu khối lượng thuê thiết bị tháng 03/2026</t>
  </si>
  <si>
    <t>Hai bên đối chiếu xác nhận giá trị thuê thiết bị từ ngày 26/02/2026 đến ngày 25/03/2026 như sau:</t>
  </si>
  <si>
    <t>Tổng tiền thuê tháng 03/2026</t>
  </si>
  <si>
    <t>Hai bên đối chiếu xác nhận khối lượng thuê thiết bị từ ngày 26/02/2026 đến ngày 25/03/2026 như sau:</t>
  </si>
  <si>
    <t>Một tỷ, hai trăm tám mươi tư triệu, không trăm tám mươi tám nghìn, không trăm linh sáu đồng./.</t>
  </si>
  <si>
    <t>Hai tỷ, tám trăm hai mươi bảy triệu, ba trăm ba mươi tám nghìn, năm trăm chín mươi sáu đồng./.</t>
  </si>
  <si>
    <t>Tháng 04/2026</t>
  </si>
  <si>
    <t>- Căn cứ Biên bản đối chiếu khối lượng thuê thiết bị tháng 04/2026</t>
  </si>
  <si>
    <t>Hai bên đối chiếu xác nhận giá trị thuê thiết bị từ ngày 26/03/2026 đến ngày 25/04/2026 như sau:</t>
  </si>
  <si>
    <t>Tổng tiền thuê tháng 04/2026</t>
  </si>
  <si>
    <t>Một tỷ, bốn trăm hai mươi sáu triệu, năm trăm sáu mươi tư nghìn, ba trăm tám mươi sáu đồng./.</t>
  </si>
  <si>
    <t>Hai bên đối chiếu xác nhận khối lượng thuê thiết bị từ ngày 26/03/2026 đến ngày 25/04/2026 như sau:</t>
  </si>
  <si>
    <t>Giá trị tiền thuê phát sinh tháng 04/2026</t>
  </si>
  <si>
    <t>Tạm ứng PL02+03+04</t>
  </si>
  <si>
    <t>Hai tỷ, bảy trăm chín mươi ba triệu, bảy trăm ba mươi mốt nghìn, chín trăm chín mươi tư đồng./.</t>
  </si>
  <si>
    <t>- Căn cứ Biên bản đối chiếu giá trị thuê thiết bị tháng 04/2026;</t>
  </si>
  <si>
    <t>Tháng 05/2026</t>
  </si>
  <si>
    <t>- Căn cứ Biên bản đối chiếu khối lượng thuê thiết bị tháng 05/2026</t>
  </si>
  <si>
    <t>Hai bên đối chiếu xác nhận giá trị thuê thiết bị từ ngày 26/04/2026 đến ngày 25/05/2026 như sau:</t>
  </si>
  <si>
    <t>nhúng nóng</t>
  </si>
  <si>
    <t>Một tỷ, ba trăm hai mươi lăm triệu, không trăm bốn mươi bảy nghìn, bảy trăm bảy mươi đồng./.</t>
  </si>
  <si>
    <t>Hai bên đối chiếu xác nhận khối lượng thuê thiết bị từ ngày 26/04/2026 đến ngày 25/05/2026 như sau:</t>
  </si>
  <si>
    <t>Tổng tiền thuê tháng 05/2026</t>
  </si>
  <si>
    <t>Giá trị tiền thuê phát sinh tháng 05/2026</t>
  </si>
  <si>
    <t>Bốn tỷ, một trăm mười tám triệu, bảy trăm bảy mươi chín nghìn, bảy trăm sáu mươi tư đồng./.</t>
  </si>
  <si>
    <t>- Căn cứ Biên bản đối chiếu giá trị thuê thiết bị tháng 05/2026;</t>
  </si>
  <si>
    <t>Tháng 06/2026</t>
  </si>
  <si>
    <t>Hai bên đối chiếu xác nhận khối lượng thuê thiết bị từ ngày 26/05/2026 đến ngày 25/06/2026 như sau:</t>
  </si>
  <si>
    <t>- Căn cứ Biên bản đối chiếu khối lượng thuê thiết bị tháng 06/2026</t>
  </si>
  <si>
    <t>Hai bên đối chiếu xác nhận giá trị thuê thiết bị từ ngày 26/05/2026 đến ngày 25/06/2026 như sau:</t>
  </si>
  <si>
    <t>Tổng tiền thuê tháng 06/2026</t>
  </si>
  <si>
    <t>Giá trị tiền thuê phát sinh tháng 06/2026</t>
  </si>
  <si>
    <t>- Căn cứ Biên bản đối chiếu giá trị thuê thiết bị tháng 06/2026;</t>
  </si>
  <si>
    <t>8 chuyến tháng 5 + 7 chuyến tháng 6</t>
  </si>
  <si>
    <t>Một tỷ, hai trăm mười triệu, bốn trăm sáu mươi hai nghìn, bốn trăm bốn mươi ba đồng./.</t>
  </si>
  <si>
    <t>Bốn tỷ, tám trăm ba mươi chín triệu, hai trăm bốn mươi hai nghìn, hai trăm linh bảy đồng./.</t>
  </si>
  <si>
    <t>Tháng 07/2026</t>
  </si>
  <si>
    <t>Hai bên đối chiếu xác nhận khối lượng thuê thiết bị từ ngày 26/06/2026 đến ngày 25/07/2026 như sau:</t>
  </si>
  <si>
    <t>Hai bên đối chiếu xác nhận giá trị thuê thiết bị từ ngày 26/06/2026 đến ngày 25/07/2026 như sau:</t>
  </si>
  <si>
    <t>Tổng tiền thuê tháng 07/2026</t>
  </si>
  <si>
    <t>Giá trị tiền thuê phát sinh tháng 07/2026</t>
  </si>
  <si>
    <t>- Căn cứ Biên bản đối chiếu giá trị thuê thiết bị tháng 07/2026;</t>
  </si>
  <si>
    <t>Chín trăm hai mươi sáu triệu, sáu trăm chín mươi chín nghìn, năm trăm năm mươi sáu đồng./.</t>
  </si>
  <si>
    <t>Ba tỷ, năm trăm sáu mươi lăm triệu, chín trăm bốn mươi mốt nghìn, bảy trăm sáu mươi ba đồng./.</t>
  </si>
  <si>
    <t xml:space="preserve">6 chuyến luân chuyển sang Harmony (4 chuyến xe ctr, 2 chuyển TP)
1 chuyến về kho PT (xe TP)
</t>
  </si>
  <si>
    <t>- Căn cứ Biên bản đối chiếu khối lượng thuê thiết bị tháng 07/2026</t>
  </si>
  <si>
    <t>Tháng 08/2026</t>
  </si>
  <si>
    <t>Hai bên đối chiếu xác nhận khối lượng thuê thiết bị từ ngày 26/07/2026 đến ngày 25/08/2026 như sau:</t>
  </si>
  <si>
    <t>Tổng tiền thuê tháng 08/2026</t>
  </si>
  <si>
    <t>- Căn cứ Biên bản đối chiếu giá trị thuê thiết bị tháng 08/2026;</t>
  </si>
  <si>
    <t>Hai bên đối chiếu xác nhận giá trị thuê thiết bị từ ngày 26/07/2026 đến ngày 25/08/2026 như sau:</t>
  </si>
  <si>
    <t>- Căn cứ Biên bản đối chiếu khối lượng thuê thiết bị tháng 08/2026</t>
  </si>
  <si>
    <t>Giá trị tiền thuê phát sinh tháng 08/2026</t>
  </si>
  <si>
    <t>Tám trăm chín mươi triệu, năm trăm linh lăm nghìn,bảy trăm sáu mươi chín đồng./.</t>
  </si>
  <si>
    <t>Hai tỷ, chín trăm linh sáu triệu, bốn trăm bốn mươi bảy nghìn, năm trăm ba mươi hai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</si>
</sst>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64" formatCode="_(* #,##0.00_);_(* \(#,##0.00\);_(* &quot;-&quot;??_);_(@_)"/>
    <numFmt numFmtId="165" formatCode="_(* #,##0_);_(* \(#,##0\);_(* &quot;-&quot;??_);_(@_)"/>
  </numFmts>
  <fonts count="22" x14ac:knownFonts="1">
    <font>
      <sz val="11"/>
      <color theme="1"/>
      <name val="Calibri"/>
      <family val="2"/>
      <scheme val="minor"/>
    </font>
    <font>
      <b/>
      <sz val="14"/>
      <color theme="1"/>
      <name val="Times New Roman"/>
      <family val="1"/>
    </font>
    <font>
      <b/>
      <sz val="11"/>
      <color theme="1"/>
      <name val="Times New Roman"/>
      <family val="1"/>
    </font>
    <font>
      <sz val="11"/>
      <color theme="1"/>
      <name val="Calibri"/>
      <family val="2"/>
      <scheme val="minor"/>
    </font>
    <font>
      <sz val="11"/>
      <color theme="1"/>
      <name val="Times New Roman"/>
      <family val="1"/>
    </font>
    <font>
      <b/>
      <sz val="12"/>
      <color theme="1"/>
      <name val="Times New Roman"/>
      <family val="1"/>
    </font>
    <font>
      <b/>
      <sz val="13"/>
      <color theme="1"/>
      <name val="Times New Roman"/>
      <family val="1"/>
    </font>
    <font>
      <sz val="13"/>
      <color theme="1"/>
      <name val="Times New Roman"/>
      <family val="1"/>
    </font>
    <font>
      <sz val="13"/>
      <name val="Times New Roman"/>
      <family val="1"/>
    </font>
    <font>
      <b/>
      <sz val="16"/>
      <color theme="1"/>
      <name val="Times New Roman"/>
      <family val="1"/>
    </font>
    <font>
      <b/>
      <sz val="13"/>
      <name val="Times New Roman"/>
      <family val="1"/>
    </font>
    <font>
      <b/>
      <u/>
      <sz val="13"/>
      <name val="Times New Roman"/>
      <family val="1"/>
    </font>
    <font>
      <i/>
      <sz val="13"/>
      <name val="Times New Roman"/>
      <family val="1"/>
    </font>
    <font>
      <sz val="13"/>
      <name val="Arial"/>
      <family val="2"/>
    </font>
    <font>
      <b/>
      <sz val="13"/>
      <name val="Arial"/>
      <family val="2"/>
    </font>
    <font>
      <b/>
      <sz val="12"/>
      <name val="Times New Roman"/>
      <family val="1"/>
    </font>
    <font>
      <sz val="12"/>
      <color theme="1"/>
      <name val="Times New Roman"/>
      <family val="1"/>
    </font>
    <font>
      <b/>
      <i/>
      <sz val="13"/>
      <color theme="1"/>
      <name val="Times New Roman"/>
      <family val="1"/>
    </font>
    <font>
      <sz val="14"/>
      <color theme="1"/>
      <name val="Times New Roman"/>
      <family val="1"/>
    </font>
    <font>
      <b/>
      <sz val="20"/>
      <name val="Times New Roman"/>
      <family val="1"/>
    </font>
    <font>
      <i/>
      <sz val="13"/>
      <color theme="1"/>
      <name val="Times New Roman"/>
      <family val="1"/>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164" fontId="3" fillId="0" borderId="0" applyFont="0" applyFill="0" applyBorder="0" applyAlignment="0" applyProtection="0"/>
  </cellStyleXfs>
  <cellXfs count="239">
    <xf numFmtId="0" fontId="0" fillId="0" borderId="0" xfId="0"/>
    <xf numFmtId="0" fontId="4" fillId="0" borderId="0" xfId="0" applyFont="1" applyAlignment="1">
      <alignment vertical="center"/>
    </xf>
    <xf numFmtId="0" fontId="2"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vertical="center"/>
    </xf>
    <xf numFmtId="0" fontId="7" fillId="0" borderId="0" xfId="0" applyFont="1" applyAlignment="1">
      <alignment vertical="center"/>
    </xf>
    <xf numFmtId="0" fontId="7" fillId="0" borderId="0" xfId="0" quotePrefix="1" applyFont="1" applyAlignment="1">
      <alignment vertical="center"/>
    </xf>
    <xf numFmtId="0" fontId="6" fillId="0" borderId="0" xfId="0" applyFont="1" applyAlignment="1">
      <alignment vertical="center"/>
    </xf>
    <xf numFmtId="0" fontId="6" fillId="0" borderId="1" xfId="0" applyFont="1" applyBorder="1" applyAlignment="1">
      <alignment vertical="center"/>
    </xf>
    <xf numFmtId="0" fontId="1" fillId="0" borderId="0" xfId="0" applyFont="1" applyAlignment="1">
      <alignment vertical="center"/>
    </xf>
    <xf numFmtId="0" fontId="8" fillId="0" borderId="0" xfId="0" applyFont="1" applyAlignment="1">
      <alignment horizontal="centerContinuous" vertical="center"/>
    </xf>
    <xf numFmtId="0" fontId="8" fillId="0" borderId="0" xfId="0" applyFont="1" applyAlignment="1">
      <alignment vertical="center"/>
    </xf>
    <xf numFmtId="0" fontId="12" fillId="0" borderId="0" xfId="0" applyFont="1" applyAlignment="1">
      <alignment horizontal="right" vertical="center"/>
    </xf>
    <xf numFmtId="0" fontId="8" fillId="0" borderId="0" xfId="0" applyFont="1" applyAlignment="1">
      <alignment horizontal="right" vertical="center"/>
    </xf>
    <xf numFmtId="3" fontId="10" fillId="0" borderId="0" xfId="0" applyNumberFormat="1" applyFont="1" applyAlignment="1">
      <alignment vertical="center" wrapText="1"/>
    </xf>
    <xf numFmtId="3" fontId="8" fillId="0" borderId="0" xfId="0" applyNumberFormat="1" applyFont="1" applyAlignment="1">
      <alignment vertical="center" wrapText="1"/>
    </xf>
    <xf numFmtId="0" fontId="8" fillId="0" borderId="0" xfId="0" applyFont="1" applyAlignment="1">
      <alignment horizontal="right" vertical="center" wrapText="1"/>
    </xf>
    <xf numFmtId="0" fontId="16" fillId="0" borderId="0" xfId="0" applyFont="1" applyAlignment="1">
      <alignment vertical="center"/>
    </xf>
    <xf numFmtId="0" fontId="2" fillId="0" borderId="0" xfId="0" applyFont="1" applyAlignment="1">
      <alignment horizontal="center" vertical="center"/>
    </xf>
    <xf numFmtId="0" fontId="8" fillId="2" borderId="1" xfId="0" applyFont="1" applyFill="1" applyBorder="1" applyAlignment="1">
      <alignment horizontal="left" vertical="center"/>
    </xf>
    <xf numFmtId="0" fontId="6" fillId="0" borderId="3"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3" fontId="7" fillId="0" borderId="1" xfId="0" applyNumberFormat="1" applyFont="1" applyBorder="1" applyAlignment="1">
      <alignment vertical="center"/>
    </xf>
    <xf numFmtId="0" fontId="7" fillId="0" borderId="0" xfId="0" quotePrefix="1" applyFont="1" applyAlignment="1">
      <alignment horizontal="center" vertical="center"/>
    </xf>
    <xf numFmtId="0" fontId="7" fillId="0" borderId="0" xfId="0" quotePrefix="1" applyFont="1" applyAlignment="1">
      <alignment vertical="center" wrapText="1"/>
    </xf>
    <xf numFmtId="0" fontId="7" fillId="2" borderId="0" xfId="0" applyFont="1" applyFill="1" applyAlignment="1">
      <alignment vertical="center"/>
    </xf>
    <xf numFmtId="165" fontId="4" fillId="0" borderId="0" xfId="1" applyNumberFormat="1" applyFont="1" applyAlignment="1">
      <alignment vertical="center"/>
    </xf>
    <xf numFmtId="165" fontId="16" fillId="0" borderId="0" xfId="0" applyNumberFormat="1" applyFont="1" applyAlignment="1">
      <alignment vertical="center"/>
    </xf>
    <xf numFmtId="0" fontId="16" fillId="0" borderId="1" xfId="0" applyFont="1" applyBorder="1" applyAlignment="1">
      <alignment horizontal="center" vertical="center"/>
    </xf>
    <xf numFmtId="0" fontId="7" fillId="0" borderId="0" xfId="0" applyFont="1" applyAlignment="1">
      <alignment horizontal="center" vertical="center"/>
    </xf>
    <xf numFmtId="0" fontId="5" fillId="0" borderId="0" xfId="0" applyFont="1" applyAlignment="1">
      <alignment vertical="center"/>
    </xf>
    <xf numFmtId="0" fontId="16" fillId="0" borderId="0" xfId="0" quotePrefix="1" applyFont="1" applyAlignment="1">
      <alignment vertical="center"/>
    </xf>
    <xf numFmtId="14" fontId="4" fillId="0" borderId="0" xfId="0" applyNumberFormat="1" applyFont="1" applyAlignment="1">
      <alignment vertical="center"/>
    </xf>
    <xf numFmtId="14" fontId="7" fillId="0" borderId="0" xfId="0" applyNumberFormat="1" applyFont="1" applyAlignment="1">
      <alignment vertical="center"/>
    </xf>
    <xf numFmtId="165" fontId="7" fillId="0" borderId="0" xfId="1" applyNumberFormat="1" applyFont="1" applyAlignment="1">
      <alignment vertical="center"/>
    </xf>
    <xf numFmtId="14" fontId="16" fillId="0" borderId="0" xfId="0" applyNumberFormat="1" applyFont="1" applyAlignment="1">
      <alignment vertical="center"/>
    </xf>
    <xf numFmtId="14" fontId="0" fillId="0" borderId="0" xfId="0" applyNumberFormat="1"/>
    <xf numFmtId="0" fontId="5" fillId="0" borderId="0" xfId="0" applyFont="1" applyAlignment="1">
      <alignment vertical="center" wrapText="1"/>
    </xf>
    <xf numFmtId="0" fontId="16" fillId="0" borderId="0" xfId="0" applyFont="1" applyAlignment="1">
      <alignment vertical="center" wrapText="1"/>
    </xf>
    <xf numFmtId="0" fontId="6" fillId="0" borderId="0" xfId="0" applyFont="1" applyAlignment="1">
      <alignment horizontal="center" vertical="center"/>
    </xf>
    <xf numFmtId="0" fontId="7" fillId="0" borderId="0" xfId="0" applyFont="1" applyAlignment="1">
      <alignment horizontal="left" vertical="center"/>
    </xf>
    <xf numFmtId="0" fontId="7" fillId="0" borderId="1" xfId="0" applyFont="1" applyBorder="1" applyAlignment="1">
      <alignment horizontal="center" vertical="center"/>
    </xf>
    <xf numFmtId="0" fontId="7" fillId="0" borderId="5" xfId="0" applyFont="1" applyBorder="1" applyAlignment="1">
      <alignment horizontal="center" vertical="center"/>
    </xf>
    <xf numFmtId="14" fontId="7" fillId="0" borderId="1" xfId="0" applyNumberFormat="1" applyFont="1" applyBorder="1" applyAlignment="1">
      <alignment horizontal="center" vertical="center"/>
    </xf>
    <xf numFmtId="0" fontId="7" fillId="0" borderId="0" xfId="0" quotePrefix="1" applyFont="1" applyAlignment="1">
      <alignment horizontal="center" vertical="center" wrapText="1"/>
    </xf>
    <xf numFmtId="3" fontId="7" fillId="0" borderId="1"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8" fillId="2" borderId="5" xfId="0" applyFont="1" applyFill="1" applyBorder="1" applyAlignment="1">
      <alignment horizontal="left" vertical="center"/>
    </xf>
    <xf numFmtId="3" fontId="7" fillId="0" borderId="5" xfId="0" applyNumberFormat="1" applyFont="1" applyBorder="1" applyAlignment="1">
      <alignment horizontal="center" vertical="center"/>
    </xf>
    <xf numFmtId="3" fontId="6" fillId="0" borderId="0" xfId="0" applyNumberFormat="1" applyFont="1" applyAlignment="1">
      <alignment horizontal="center" vertical="center"/>
    </xf>
    <xf numFmtId="3" fontId="7" fillId="0" borderId="0" xfId="0" quotePrefix="1" applyNumberFormat="1" applyFont="1" applyAlignment="1">
      <alignment vertical="center" wrapText="1"/>
    </xf>
    <xf numFmtId="3" fontId="7" fillId="0" borderId="0" xfId="0" quotePrefix="1" applyNumberFormat="1" applyFont="1" applyAlignment="1">
      <alignment vertical="center"/>
    </xf>
    <xf numFmtId="3" fontId="7" fillId="0" borderId="0" xfId="0" applyNumberFormat="1" applyFont="1" applyAlignment="1">
      <alignment vertical="center"/>
    </xf>
    <xf numFmtId="3" fontId="6" fillId="0" borderId="0" xfId="0" applyNumberFormat="1" applyFont="1" applyAlignment="1">
      <alignment vertical="center"/>
    </xf>
    <xf numFmtId="3" fontId="7" fillId="0" borderId="0" xfId="0" applyNumberFormat="1" applyFont="1" applyAlignment="1">
      <alignment horizontal="left" vertical="center"/>
    </xf>
    <xf numFmtId="3" fontId="6" fillId="0" borderId="3" xfId="0" applyNumberFormat="1" applyFont="1" applyBorder="1" applyAlignment="1">
      <alignment horizontal="center" vertical="center" wrapText="1"/>
    </xf>
    <xf numFmtId="0" fontId="18" fillId="0" borderId="0" xfId="0" applyFont="1" applyAlignment="1">
      <alignment vertical="center"/>
    </xf>
    <xf numFmtId="11" fontId="7" fillId="0" borderId="1" xfId="0" applyNumberFormat="1" applyFont="1" applyBorder="1" applyAlignment="1">
      <alignment horizontal="center" vertical="center"/>
    </xf>
    <xf numFmtId="0" fontId="6" fillId="0" borderId="1" xfId="0" applyFont="1" applyBorder="1" applyAlignment="1">
      <alignment horizontal="center" vertical="center"/>
    </xf>
    <xf numFmtId="0" fontId="5" fillId="0" borderId="0" xfId="0" applyFont="1" applyAlignment="1">
      <alignment horizontal="center" vertical="center"/>
    </xf>
    <xf numFmtId="0" fontId="16" fillId="0" borderId="0" xfId="0" applyFont="1" applyAlignment="1">
      <alignment horizontal="left" vertical="center"/>
    </xf>
    <xf numFmtId="0" fontId="5" fillId="0" borderId="0" xfId="0" applyFont="1" applyAlignment="1">
      <alignment horizontal="left" vertical="center"/>
    </xf>
    <xf numFmtId="0" fontId="5" fillId="0" borderId="1" xfId="0" applyFont="1" applyBorder="1" applyAlignment="1">
      <alignment horizontal="center" vertical="center"/>
    </xf>
    <xf numFmtId="0" fontId="16"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center" wrapText="1"/>
    </xf>
    <xf numFmtId="1" fontId="7" fillId="0" borderId="1" xfId="0" applyNumberFormat="1" applyFont="1" applyBorder="1" applyAlignment="1">
      <alignment vertical="center"/>
    </xf>
    <xf numFmtId="165" fontId="7" fillId="0" borderId="1" xfId="1" applyNumberFormat="1" applyFont="1" applyFill="1" applyBorder="1" applyAlignment="1">
      <alignment horizontal="right" vertical="center"/>
    </xf>
    <xf numFmtId="165" fontId="6" fillId="0" borderId="1" xfId="1" applyNumberFormat="1" applyFont="1" applyFill="1" applyBorder="1" applyAlignment="1">
      <alignment vertical="center"/>
    </xf>
    <xf numFmtId="165" fontId="7" fillId="0" borderId="1" xfId="1" applyNumberFormat="1" applyFont="1" applyFill="1" applyBorder="1"/>
    <xf numFmtId="0" fontId="10" fillId="0" borderId="0" xfId="0" applyFont="1" applyAlignment="1">
      <alignment vertical="center" wrapText="1"/>
    </xf>
    <xf numFmtId="165" fontId="4" fillId="0" borderId="0" xfId="0" applyNumberFormat="1" applyFont="1" applyAlignment="1">
      <alignment vertical="center"/>
    </xf>
    <xf numFmtId="0" fontId="20" fillId="0" borderId="8" xfId="0" applyFont="1" applyBorder="1" applyAlignment="1">
      <alignment vertical="center" wrapText="1"/>
    </xf>
    <xf numFmtId="0" fontId="20" fillId="0" borderId="8" xfId="0" applyFont="1" applyBorder="1" applyAlignment="1">
      <alignment vertical="center"/>
    </xf>
    <xf numFmtId="0" fontId="10" fillId="0" borderId="0" xfId="0" applyFont="1" applyAlignment="1">
      <alignment vertical="center"/>
    </xf>
    <xf numFmtId="0" fontId="7" fillId="0" borderId="1" xfId="0" applyFont="1" applyBorder="1" applyAlignment="1">
      <alignment vertical="center" wrapText="1"/>
    </xf>
    <xf numFmtId="0" fontId="7" fillId="0" borderId="1" xfId="0" applyFont="1" applyBorder="1" applyAlignment="1">
      <alignment horizontal="left" vertical="center"/>
    </xf>
    <xf numFmtId="165" fontId="17" fillId="0" borderId="1" xfId="1" applyNumberFormat="1" applyFont="1" applyFill="1" applyBorder="1" applyAlignment="1">
      <alignment vertical="center"/>
    </xf>
    <xf numFmtId="165" fontId="7" fillId="0" borderId="1" xfId="1" applyNumberFormat="1" applyFont="1" applyFill="1" applyBorder="1" applyAlignment="1">
      <alignment vertical="center"/>
    </xf>
    <xf numFmtId="0" fontId="8" fillId="0" borderId="1" xfId="0" applyFont="1" applyBorder="1" applyAlignment="1">
      <alignment horizontal="left" vertical="center"/>
    </xf>
    <xf numFmtId="165" fontId="17" fillId="0" borderId="7" xfId="1" applyNumberFormat="1" applyFont="1" applyFill="1" applyBorder="1" applyAlignment="1">
      <alignment vertical="center"/>
    </xf>
    <xf numFmtId="165" fontId="7" fillId="0" borderId="7" xfId="1" applyNumberFormat="1" applyFont="1" applyFill="1" applyBorder="1" applyAlignment="1">
      <alignment vertical="center"/>
    </xf>
    <xf numFmtId="165" fontId="6" fillId="3" borderId="1" xfId="1" applyNumberFormat="1" applyFont="1" applyFill="1" applyBorder="1" applyAlignment="1">
      <alignment vertical="center"/>
    </xf>
    <xf numFmtId="165" fontId="7" fillId="0" borderId="0" xfId="0" applyNumberFormat="1" applyFont="1" applyAlignment="1">
      <alignment vertical="center"/>
    </xf>
    <xf numFmtId="165" fontId="4" fillId="0" borderId="0" xfId="1" applyNumberFormat="1" applyFont="1" applyFill="1" applyAlignment="1">
      <alignment vertical="center"/>
    </xf>
    <xf numFmtId="14" fontId="4" fillId="0" borderId="0" xfId="1" applyNumberFormat="1" applyFont="1" applyFill="1" applyAlignment="1">
      <alignment vertical="center"/>
    </xf>
    <xf numFmtId="165" fontId="7" fillId="0" borderId="10" xfId="1" applyNumberFormat="1" applyFont="1" applyFill="1" applyBorder="1" applyAlignment="1">
      <alignment vertical="center"/>
    </xf>
    <xf numFmtId="165" fontId="16" fillId="0" borderId="0" xfId="1" applyNumberFormat="1" applyFont="1" applyFill="1" applyAlignment="1">
      <alignment vertical="center"/>
    </xf>
    <xf numFmtId="41" fontId="6" fillId="0" borderId="1" xfId="1" applyNumberFormat="1" applyFont="1" applyFill="1" applyBorder="1" applyAlignment="1">
      <alignment vertical="center"/>
    </xf>
    <xf numFmtId="165" fontId="6" fillId="0" borderId="0" xfId="1" applyNumberFormat="1" applyFont="1" applyFill="1" applyBorder="1" applyAlignment="1">
      <alignment vertical="center"/>
    </xf>
    <xf numFmtId="164" fontId="4" fillId="0" borderId="0" xfId="1" applyFont="1" applyFill="1" applyAlignment="1">
      <alignment vertical="center"/>
    </xf>
    <xf numFmtId="0" fontId="4" fillId="0" borderId="0" xfId="0" applyFont="1" applyAlignment="1">
      <alignment horizontal="center" vertical="center"/>
    </xf>
    <xf numFmtId="16" fontId="4" fillId="0" borderId="0" xfId="0" applyNumberFormat="1" applyFont="1" applyAlignment="1">
      <alignment vertical="center"/>
    </xf>
    <xf numFmtId="165" fontId="7" fillId="0" borderId="1" xfId="0" applyNumberFormat="1" applyFont="1" applyBorder="1" applyAlignment="1">
      <alignment vertical="center"/>
    </xf>
    <xf numFmtId="0" fontId="6" fillId="0" borderId="1" xfId="0" applyFont="1" applyBorder="1" applyAlignment="1">
      <alignment vertical="center" wrapText="1"/>
    </xf>
    <xf numFmtId="14" fontId="7" fillId="0" borderId="1" xfId="0" applyNumberFormat="1" applyFont="1" applyBorder="1" applyAlignment="1">
      <alignment horizontal="center" wrapText="1"/>
    </xf>
    <xf numFmtId="165" fontId="7"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xf>
    <xf numFmtId="164" fontId="4" fillId="0" borderId="0" xfId="0" applyNumberFormat="1" applyFont="1" applyAlignment="1">
      <alignment vertical="center"/>
    </xf>
    <xf numFmtId="165" fontId="7" fillId="0" borderId="0" xfId="0" applyNumberFormat="1" applyFont="1" applyAlignment="1">
      <alignment horizontal="center" vertical="center"/>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xf>
    <xf numFmtId="165" fontId="17" fillId="2" borderId="1" xfId="1" applyNumberFormat="1" applyFont="1" applyFill="1" applyBorder="1" applyAlignment="1">
      <alignment vertical="center"/>
    </xf>
    <xf numFmtId="165" fontId="7" fillId="2" borderId="1" xfId="1" applyNumberFormat="1" applyFont="1" applyFill="1" applyBorder="1" applyAlignment="1">
      <alignment horizontal="right" vertical="center"/>
    </xf>
    <xf numFmtId="0" fontId="7" fillId="2" borderId="1" xfId="0" applyFont="1" applyFill="1" applyBorder="1" applyAlignment="1">
      <alignment vertical="center"/>
    </xf>
    <xf numFmtId="14" fontId="7" fillId="2" borderId="9" xfId="0" applyNumberFormat="1" applyFont="1" applyFill="1" applyBorder="1" applyAlignment="1">
      <alignment horizontal="center" vertical="center"/>
    </xf>
    <xf numFmtId="165" fontId="17" fillId="2" borderId="7" xfId="1" applyNumberFormat="1" applyFont="1" applyFill="1" applyBorder="1" applyAlignment="1">
      <alignment vertical="center"/>
    </xf>
    <xf numFmtId="165" fontId="6" fillId="2" borderId="1" xfId="1" applyNumberFormat="1" applyFont="1" applyFill="1" applyBorder="1" applyAlignment="1">
      <alignment vertical="center"/>
    </xf>
    <xf numFmtId="165" fontId="7" fillId="2" borderId="1" xfId="1" applyNumberFormat="1" applyFont="1" applyFill="1" applyBorder="1"/>
    <xf numFmtId="1" fontId="7" fillId="2" borderId="1" xfId="0" applyNumberFormat="1" applyFont="1" applyFill="1" applyBorder="1" applyAlignment="1">
      <alignment vertical="center"/>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165" fontId="7" fillId="2" borderId="1" xfId="1" applyNumberFormat="1" applyFont="1" applyFill="1" applyBorder="1" applyAlignment="1">
      <alignment vertical="center"/>
    </xf>
    <xf numFmtId="3" fontId="7" fillId="2" borderId="1" xfId="0" applyNumberFormat="1" applyFont="1" applyFill="1" applyBorder="1" applyAlignment="1">
      <alignment vertical="center"/>
    </xf>
    <xf numFmtId="164" fontId="4" fillId="0" borderId="0" xfId="1" applyFont="1" applyAlignment="1">
      <alignment vertical="center"/>
    </xf>
    <xf numFmtId="0" fontId="8"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16" fillId="0" borderId="0" xfId="0" applyFont="1" applyAlignment="1">
      <alignment horizontal="left" vertical="center"/>
    </xf>
    <xf numFmtId="0" fontId="5" fillId="0" borderId="1" xfId="0" applyFont="1" applyBorder="1" applyAlignment="1">
      <alignment horizontal="center" vertical="center"/>
    </xf>
    <xf numFmtId="0" fontId="16" fillId="0" borderId="0" xfId="0" applyFont="1" applyAlignment="1">
      <alignment horizontal="center" vertical="center"/>
    </xf>
    <xf numFmtId="0" fontId="7" fillId="0" borderId="0" xfId="0" applyFont="1" applyAlignment="1">
      <alignment horizontal="left"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0" xfId="0" applyFont="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65" fontId="6" fillId="2" borderId="7" xfId="1" applyNumberFormat="1" applyFont="1" applyFill="1" applyBorder="1" applyAlignment="1">
      <alignment vertical="center"/>
    </xf>
    <xf numFmtId="165" fontId="6" fillId="0" borderId="10" xfId="1" applyNumberFormat="1" applyFont="1" applyFill="1" applyBorder="1" applyAlignment="1">
      <alignment vertical="center"/>
    </xf>
    <xf numFmtId="3" fontId="7" fillId="0" borderId="1" xfId="0" applyNumberFormat="1" applyFont="1" applyBorder="1" applyAlignment="1">
      <alignment vertical="center" wrapText="1"/>
    </xf>
    <xf numFmtId="0" fontId="8"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16" fillId="0" borderId="0" xfId="0" applyFont="1" applyAlignment="1">
      <alignment horizontal="left" vertical="center"/>
    </xf>
    <xf numFmtId="0" fontId="5" fillId="0" borderId="1" xfId="0" applyFont="1" applyBorder="1" applyAlignment="1">
      <alignment horizontal="center" vertical="center"/>
    </xf>
    <xf numFmtId="0" fontId="16" fillId="0" borderId="0" xfId="0" applyFont="1" applyAlignment="1">
      <alignment horizontal="center" vertical="center"/>
    </xf>
    <xf numFmtId="0" fontId="7" fillId="0" borderId="0" xfId="0" applyFont="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0" borderId="0" xfId="0" applyFont="1" applyAlignment="1">
      <alignment horizontal="center" vertical="center"/>
    </xf>
    <xf numFmtId="3" fontId="6" fillId="0" borderId="1" xfId="0" applyNumberFormat="1" applyFont="1" applyBorder="1" applyAlignment="1">
      <alignment vertical="center" wrapText="1"/>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5" fillId="4" borderId="0" xfId="0" applyFont="1" applyFill="1" applyAlignment="1">
      <alignment vertical="center"/>
    </xf>
    <xf numFmtId="0" fontId="5" fillId="0" borderId="0" xfId="0" applyFont="1" applyAlignment="1">
      <alignment horizontal="center" vertical="center"/>
    </xf>
    <xf numFmtId="0" fontId="7" fillId="0" borderId="0" xfId="0" applyFont="1" applyAlignment="1">
      <alignment horizontal="left"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16" fillId="0" borderId="0" xfId="0" applyFont="1" applyAlignment="1">
      <alignment horizontal="left" vertical="center"/>
    </xf>
    <xf numFmtId="0" fontId="5" fillId="0" borderId="1" xfId="0" applyFont="1" applyBorder="1" applyAlignment="1">
      <alignment horizontal="center" vertical="center"/>
    </xf>
    <xf numFmtId="0" fontId="16" fillId="0" borderId="0" xfId="0" applyFont="1" applyAlignment="1">
      <alignment horizontal="center" vertical="center"/>
    </xf>
    <xf numFmtId="0" fontId="7" fillId="0" borderId="0" xfId="0" applyFont="1" applyAlignment="1">
      <alignment horizontal="left"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0" xfId="0" applyFont="1" applyAlignment="1">
      <alignment horizontal="center" vertical="center"/>
    </xf>
    <xf numFmtId="0" fontId="5" fillId="0" borderId="0" xfId="0" applyFont="1" applyFill="1" applyAlignment="1">
      <alignment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10" fillId="0" borderId="0" xfId="0" applyFont="1" applyAlignment="1">
      <alignment vertical="center" wrapText="1"/>
    </xf>
    <xf numFmtId="0" fontId="14" fillId="0" borderId="0" xfId="0" applyFont="1" applyAlignment="1">
      <alignment vertical="center" wrapText="1"/>
    </xf>
    <xf numFmtId="0" fontId="13" fillId="0" borderId="0" xfId="0" applyFont="1" applyAlignment="1">
      <alignment vertical="center" wrapText="1"/>
    </xf>
    <xf numFmtId="0" fontId="10" fillId="0" borderId="0" xfId="0" applyFont="1" applyAlignment="1">
      <alignment horizontal="left" vertical="center" wrapText="1"/>
    </xf>
    <xf numFmtId="0" fontId="8" fillId="0" borderId="0" xfId="0" applyFont="1" applyAlignment="1">
      <alignment horizontal="justify" vertical="center" wrapText="1"/>
    </xf>
    <xf numFmtId="0" fontId="15" fillId="0" borderId="0" xfId="0" applyFont="1" applyAlignment="1">
      <alignment horizontal="center" vertical="center" wrapText="1"/>
    </xf>
    <xf numFmtId="0" fontId="8" fillId="0" borderId="0" xfId="0" applyFont="1" applyAlignment="1">
      <alignment horizontal="center" vertical="center"/>
    </xf>
    <xf numFmtId="0" fontId="11" fillId="0" borderId="0" xfId="0" applyFont="1" applyAlignment="1">
      <alignment horizontal="center" vertical="center"/>
    </xf>
    <xf numFmtId="0" fontId="19" fillId="0" borderId="0" xfId="0" applyFont="1" applyAlignment="1">
      <alignment horizontal="center" vertical="center"/>
    </xf>
    <xf numFmtId="0" fontId="8" fillId="0" borderId="0" xfId="0" quotePrefix="1" applyFont="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justify" vertical="center" wrapText="1"/>
    </xf>
    <xf numFmtId="0" fontId="8" fillId="0" borderId="0" xfId="0" quotePrefix="1" applyFont="1" applyAlignment="1">
      <alignment horizontal="justify" vertical="center" wrapText="1"/>
    </xf>
    <xf numFmtId="0" fontId="16" fillId="0" borderId="1" xfId="0" applyFont="1" applyBorder="1" applyAlignment="1">
      <alignment horizontal="left" vertical="center"/>
    </xf>
    <xf numFmtId="165" fontId="16" fillId="0" borderId="1" xfId="1" applyNumberFormat="1" applyFont="1" applyBorder="1" applyAlignment="1">
      <alignment horizontal="center" vertical="center"/>
    </xf>
    <xf numFmtId="0" fontId="5" fillId="0" borderId="0" xfId="0" applyFont="1" applyAlignment="1">
      <alignment horizontal="center" vertical="center"/>
    </xf>
    <xf numFmtId="0" fontId="7" fillId="0" borderId="0" xfId="0" quotePrefix="1" applyFont="1" applyAlignment="1">
      <alignment horizontal="left" vertical="center"/>
    </xf>
    <xf numFmtId="0" fontId="16" fillId="0" borderId="0" xfId="0" quotePrefix="1"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6" fillId="0" borderId="2" xfId="0" applyFont="1" applyBorder="1" applyAlignment="1">
      <alignment horizontal="left" vertical="center" wrapText="1"/>
    </xf>
    <xf numFmtId="0" fontId="5" fillId="0" borderId="1" xfId="0" applyFont="1" applyBorder="1" applyAlignment="1">
      <alignment horizontal="center" vertical="center"/>
    </xf>
    <xf numFmtId="0" fontId="9" fillId="0" borderId="0" xfId="0" applyFont="1" applyAlignment="1">
      <alignment horizontal="center" vertical="center"/>
    </xf>
    <xf numFmtId="0" fontId="16" fillId="0" borderId="0" xfId="0" applyFont="1" applyAlignment="1">
      <alignment horizontal="center" vertical="center"/>
    </xf>
    <xf numFmtId="0" fontId="16" fillId="0" borderId="0" xfId="0" quotePrefix="1" applyFont="1" applyAlignment="1">
      <alignment horizontal="justify" vertical="center" wrapText="1"/>
    </xf>
    <xf numFmtId="0" fontId="5" fillId="0" borderId="0" xfId="0" applyFont="1" applyAlignment="1">
      <alignment horizontal="justify" vertical="center"/>
    </xf>
    <xf numFmtId="0" fontId="7" fillId="0" borderId="0" xfId="0" applyFont="1" applyAlignment="1">
      <alignment horizontal="left" vertical="center"/>
    </xf>
    <xf numFmtId="1" fontId="7" fillId="0" borderId="0" xfId="0" quotePrefix="1" applyNumberFormat="1" applyFont="1" applyAlignment="1">
      <alignment horizontal="left"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7" xfId="0" applyFont="1" applyFill="1" applyBorder="1" applyAlignment="1">
      <alignment horizontal="center" vertical="center"/>
    </xf>
    <xf numFmtId="0" fontId="7" fillId="2" borderId="1" xfId="0" applyFont="1" applyFill="1" applyBorder="1" applyAlignment="1">
      <alignment horizontal="center" vertical="center"/>
    </xf>
    <xf numFmtId="0" fontId="7" fillId="0" borderId="0" xfId="0" quotePrefix="1" applyFont="1" applyAlignment="1">
      <alignment horizontal="left" vertical="center" wrapText="1"/>
    </xf>
    <xf numFmtId="165" fontId="7" fillId="0" borderId="10" xfId="0" applyNumberFormat="1" applyFont="1" applyBorder="1" applyAlignment="1">
      <alignment horizontal="center" vertical="center"/>
    </xf>
    <xf numFmtId="165" fontId="7" fillId="0" borderId="11" xfId="0" applyNumberFormat="1" applyFont="1" applyBorder="1" applyAlignment="1">
      <alignment horizontal="center" vertical="center"/>
    </xf>
    <xf numFmtId="165" fontId="7" fillId="0" borderId="12" xfId="0" applyNumberFormat="1" applyFont="1" applyBorder="1" applyAlignment="1">
      <alignment horizontal="center" vertical="center"/>
    </xf>
    <xf numFmtId="165" fontId="7" fillId="0" borderId="13" xfId="0" applyNumberFormat="1"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center" vertical="center"/>
    </xf>
    <xf numFmtId="165" fontId="7" fillId="0" borderId="3" xfId="0" applyNumberFormat="1" applyFont="1" applyBorder="1" applyAlignment="1">
      <alignment horizontal="center" vertical="center"/>
    </xf>
    <xf numFmtId="165" fontId="7" fillId="0" borderId="5" xfId="0" applyNumberFormat="1" applyFont="1" applyBorder="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6" fillId="0" borderId="0" xfId="0" applyFont="1" applyAlignment="1">
      <alignment horizontal="center" vertical="center"/>
    </xf>
    <xf numFmtId="0" fontId="1" fillId="0" borderId="0" xfId="0" applyFont="1" applyAlignment="1">
      <alignment horizontal="center" vertical="center"/>
    </xf>
    <xf numFmtId="0" fontId="7" fillId="2" borderId="0" xfId="0" quotePrefix="1" applyFont="1" applyFill="1" applyAlignment="1">
      <alignment horizontal="justify"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3"/>
  <sheetViews>
    <sheetView view="pageBreakPreview" topLeftCell="A188" zoomScale="85" zoomScaleNormal="100" zoomScaleSheetLayoutView="85" workbookViewId="0">
      <selection activeCell="L213" sqref="L213"/>
    </sheetView>
  </sheetViews>
  <sheetFormatPr defaultRowHeight="15" x14ac:dyDescent="0.25"/>
  <cols>
    <col min="1" max="1" width="12.42578125" customWidth="1"/>
    <col min="2" max="2" width="12.28515625" customWidth="1"/>
    <col min="3" max="3" width="15.28515625" customWidth="1"/>
    <col min="4" max="4" width="12" customWidth="1"/>
    <col min="5" max="5" width="17" customWidth="1"/>
    <col min="6" max="6" width="14.28515625" customWidth="1"/>
    <col min="7" max="7" width="33.5703125" customWidth="1"/>
    <col min="14" max="14" width="15" bestFit="1" customWidth="1"/>
  </cols>
  <sheetData>
    <row r="1" spans="1:11" ht="26.25" customHeight="1" x14ac:dyDescent="0.25">
      <c r="A1" s="186" t="s">
        <v>35</v>
      </c>
      <c r="B1" s="186"/>
      <c r="C1" s="186"/>
      <c r="D1" s="187" t="s">
        <v>36</v>
      </c>
      <c r="E1" s="187"/>
      <c r="F1" s="187"/>
      <c r="G1" s="187"/>
    </row>
    <row r="2" spans="1:11" ht="26.25" customHeight="1" x14ac:dyDescent="0.25">
      <c r="A2" s="186"/>
      <c r="B2" s="186"/>
      <c r="C2" s="186"/>
      <c r="D2" s="188" t="s">
        <v>2</v>
      </c>
      <c r="E2" s="188"/>
      <c r="F2" s="188"/>
      <c r="G2" s="188"/>
    </row>
    <row r="3" spans="1:11" ht="26.25" customHeight="1" x14ac:dyDescent="0.25">
      <c r="A3" s="66"/>
      <c r="B3" s="66"/>
      <c r="C3" s="66"/>
      <c r="D3" s="66"/>
      <c r="E3" s="10"/>
      <c r="F3" s="10"/>
      <c r="G3" s="10"/>
    </row>
    <row r="4" spans="1:11" ht="26.25" customHeight="1" x14ac:dyDescent="0.25">
      <c r="A4" s="11"/>
      <c r="B4" s="11"/>
      <c r="C4" s="11"/>
      <c r="D4" s="11"/>
      <c r="E4" s="11"/>
      <c r="F4" s="11"/>
      <c r="G4" s="12" t="s">
        <v>114</v>
      </c>
    </row>
    <row r="5" spans="1:11" ht="26.25" customHeight="1" x14ac:dyDescent="0.25">
      <c r="A5" s="11"/>
      <c r="B5" s="11"/>
      <c r="C5" s="11"/>
      <c r="D5" s="11"/>
      <c r="E5" s="11"/>
      <c r="F5" s="11"/>
      <c r="G5" s="13"/>
      <c r="K5" s="37"/>
    </row>
    <row r="6" spans="1:11" ht="26.25" customHeight="1" x14ac:dyDescent="0.25">
      <c r="A6" s="189" t="s">
        <v>37</v>
      </c>
      <c r="B6" s="189"/>
      <c r="C6" s="189"/>
      <c r="D6" s="189"/>
      <c r="E6" s="189"/>
      <c r="F6" s="189"/>
      <c r="G6" s="189"/>
      <c r="K6" s="17"/>
    </row>
    <row r="7" spans="1:11" ht="26.25" customHeight="1" x14ac:dyDescent="0.25">
      <c r="A7" s="190"/>
      <c r="B7" s="191"/>
      <c r="C7" s="191"/>
      <c r="D7" s="191"/>
      <c r="E7" s="191"/>
      <c r="F7" s="191"/>
      <c r="G7" s="191"/>
    </row>
    <row r="8" spans="1:11" ht="26.25" customHeight="1" x14ac:dyDescent="0.25">
      <c r="A8" s="180" t="s">
        <v>133</v>
      </c>
      <c r="B8" s="192"/>
      <c r="C8" s="192"/>
      <c r="D8" s="192"/>
      <c r="E8" s="192"/>
      <c r="F8" s="192"/>
      <c r="G8" s="192"/>
    </row>
    <row r="9" spans="1:11" ht="46.5" customHeight="1" x14ac:dyDescent="0.25">
      <c r="A9" s="185" t="s">
        <v>38</v>
      </c>
      <c r="B9" s="193"/>
      <c r="C9" s="193"/>
      <c r="D9" s="193"/>
      <c r="E9" s="193"/>
      <c r="F9" s="193"/>
      <c r="G9" s="193"/>
    </row>
    <row r="10" spans="1:11" ht="54.75" customHeight="1" x14ac:dyDescent="0.25">
      <c r="A10" s="179" t="str">
        <f>+ĐCCN!$A$7</f>
        <v>- Căn cứ Hợp đồng kinh tế số 0412/HĐKT2025/TP-VIETPANEL ký ngày 04/12/2025 giữa Công ty TNHH xây dựng Việt Panel và Công ty Cổ phần Tập đoàn Thiết bị xây dựng TP về việc cho thuê thiết bị xây dựng.</v>
      </c>
      <c r="B10" s="179"/>
      <c r="C10" s="179"/>
      <c r="D10" s="179"/>
      <c r="E10" s="179"/>
      <c r="F10" s="179"/>
      <c r="G10" s="179"/>
    </row>
    <row r="11" spans="1:11" ht="33.75" customHeight="1" x14ac:dyDescent="0.25">
      <c r="A11" s="194" t="s">
        <v>136</v>
      </c>
      <c r="B11" s="194"/>
      <c r="C11" s="194"/>
      <c r="D11" s="194"/>
      <c r="E11" s="194"/>
      <c r="F11" s="194"/>
      <c r="G11" s="194"/>
    </row>
    <row r="12" spans="1:11" ht="26.25" customHeight="1" x14ac:dyDescent="0.25">
      <c r="A12" s="65"/>
      <c r="B12" s="179" t="s">
        <v>39</v>
      </c>
      <c r="C12" s="179"/>
      <c r="D12" s="179"/>
      <c r="E12" s="14">
        <f>ĐCCN!G28</f>
        <v>30768025</v>
      </c>
      <c r="F12" s="15" t="s">
        <v>40</v>
      </c>
      <c r="G12" s="15"/>
    </row>
    <row r="13" spans="1:11" ht="43.5" customHeight="1" x14ac:dyDescent="0.25">
      <c r="A13" s="75" t="str">
        <f>ĐCCN!A29</f>
        <v>Bằng chữ:</v>
      </c>
      <c r="B13" s="75" t="str">
        <f>ĐCCN!B29</f>
        <v>Ba mươi triệu, bảy trăm sáu mươi tám nghìn, không trăm hai mươi lăm đồng./.</v>
      </c>
      <c r="C13" s="71"/>
      <c r="D13" s="71"/>
      <c r="E13" s="71"/>
      <c r="F13" s="71"/>
      <c r="G13" s="71"/>
    </row>
    <row r="14" spans="1:11" ht="48" customHeight="1" x14ac:dyDescent="0.25">
      <c r="A14" s="180" t="s">
        <v>46</v>
      </c>
      <c r="B14" s="180"/>
      <c r="C14" s="180"/>
      <c r="D14" s="180"/>
      <c r="E14" s="180"/>
      <c r="F14" s="180"/>
      <c r="G14" s="180"/>
    </row>
    <row r="15" spans="1:11" ht="26.25" customHeight="1" x14ac:dyDescent="0.25">
      <c r="A15" s="16"/>
      <c r="B15" s="180" t="s">
        <v>41</v>
      </c>
      <c r="C15" s="180"/>
      <c r="D15" s="181" t="s">
        <v>42</v>
      </c>
      <c r="E15" s="182"/>
      <c r="F15" s="182"/>
      <c r="G15" s="182"/>
    </row>
    <row r="16" spans="1:11" ht="26.25" customHeight="1" x14ac:dyDescent="0.25">
      <c r="A16" s="16"/>
      <c r="B16" s="179" t="s">
        <v>43</v>
      </c>
      <c r="C16" s="179"/>
      <c r="D16" s="179" t="s">
        <v>124</v>
      </c>
      <c r="E16" s="183"/>
      <c r="F16" s="183"/>
      <c r="G16" s="183"/>
    </row>
    <row r="17" spans="1:7" ht="45.75" customHeight="1" x14ac:dyDescent="0.25">
      <c r="A17" s="16"/>
      <c r="B17" s="179" t="s">
        <v>44</v>
      </c>
      <c r="C17" s="179"/>
      <c r="D17" s="180" t="s">
        <v>130</v>
      </c>
      <c r="E17" s="184"/>
      <c r="F17" s="184"/>
      <c r="G17" s="184"/>
    </row>
    <row r="18" spans="1:7" ht="26.25" customHeight="1" x14ac:dyDescent="0.25">
      <c r="A18" s="185" t="s">
        <v>45</v>
      </c>
      <c r="B18" s="185"/>
      <c r="C18" s="185"/>
      <c r="D18" s="185"/>
      <c r="E18" s="185"/>
      <c r="F18" s="185"/>
      <c r="G18" s="185"/>
    </row>
    <row r="19" spans="1:7" ht="26.25" customHeight="1" x14ac:dyDescent="0.25">
      <c r="A19" s="11"/>
      <c r="B19" s="11"/>
      <c r="C19" s="11"/>
      <c r="D19" s="11"/>
      <c r="E19" s="178" t="s">
        <v>35</v>
      </c>
      <c r="F19" s="178"/>
      <c r="G19" s="178"/>
    </row>
    <row r="20" spans="1:7" ht="26.25" customHeight="1" x14ac:dyDescent="0.25">
      <c r="A20" s="11"/>
      <c r="B20" s="11"/>
      <c r="C20" s="11"/>
      <c r="D20" s="11"/>
      <c r="E20" s="178"/>
      <c r="F20" s="178"/>
      <c r="G20" s="178"/>
    </row>
    <row r="24" spans="1:7" ht="16.5" x14ac:dyDescent="0.25">
      <c r="A24" s="186" t="s">
        <v>35</v>
      </c>
      <c r="B24" s="186"/>
      <c r="C24" s="186"/>
      <c r="D24" s="187" t="s">
        <v>36</v>
      </c>
      <c r="E24" s="187"/>
      <c r="F24" s="187"/>
      <c r="G24" s="187"/>
    </row>
    <row r="25" spans="1:7" ht="16.5" x14ac:dyDescent="0.25">
      <c r="A25" s="186"/>
      <c r="B25" s="186"/>
      <c r="C25" s="186"/>
      <c r="D25" s="188" t="s">
        <v>2</v>
      </c>
      <c r="E25" s="188"/>
      <c r="F25" s="188"/>
      <c r="G25" s="188"/>
    </row>
    <row r="26" spans="1:7" ht="16.5" x14ac:dyDescent="0.25">
      <c r="A26" s="66"/>
      <c r="B26" s="66"/>
      <c r="C26" s="66"/>
      <c r="D26" s="66"/>
      <c r="E26" s="10"/>
      <c r="F26" s="10"/>
      <c r="G26" s="10"/>
    </row>
    <row r="27" spans="1:7" ht="16.5" x14ac:dyDescent="0.25">
      <c r="A27" s="11"/>
      <c r="B27" s="11"/>
      <c r="C27" s="11"/>
      <c r="D27" s="11"/>
      <c r="E27" s="11"/>
      <c r="F27" s="11"/>
      <c r="G27" s="12" t="s">
        <v>175</v>
      </c>
    </row>
    <row r="28" spans="1:7" ht="16.5" x14ac:dyDescent="0.25">
      <c r="A28" s="11"/>
      <c r="B28" s="11"/>
      <c r="C28" s="11"/>
      <c r="D28" s="11"/>
      <c r="E28" s="11"/>
      <c r="F28" s="11"/>
      <c r="G28" s="13"/>
    </row>
    <row r="29" spans="1:7" ht="25.5" x14ac:dyDescent="0.25">
      <c r="A29" s="189" t="s">
        <v>37</v>
      </c>
      <c r="B29" s="189"/>
      <c r="C29" s="189"/>
      <c r="D29" s="189"/>
      <c r="E29" s="189"/>
      <c r="F29" s="189"/>
      <c r="G29" s="189"/>
    </row>
    <row r="30" spans="1:7" ht="16.5" x14ac:dyDescent="0.25">
      <c r="A30" s="190"/>
      <c r="B30" s="191"/>
      <c r="C30" s="191"/>
      <c r="D30" s="191"/>
      <c r="E30" s="191"/>
      <c r="F30" s="191"/>
      <c r="G30" s="191"/>
    </row>
    <row r="31" spans="1:7" ht="16.5" x14ac:dyDescent="0.25">
      <c r="A31" s="180" t="s">
        <v>133</v>
      </c>
      <c r="B31" s="192"/>
      <c r="C31" s="192"/>
      <c r="D31" s="192"/>
      <c r="E31" s="192"/>
      <c r="F31" s="192"/>
      <c r="G31" s="192"/>
    </row>
    <row r="32" spans="1:7" ht="27" customHeight="1" x14ac:dyDescent="0.25">
      <c r="A32" s="185" t="s">
        <v>38</v>
      </c>
      <c r="B32" s="193"/>
      <c r="C32" s="193"/>
      <c r="D32" s="193"/>
      <c r="E32" s="193"/>
      <c r="F32" s="193"/>
      <c r="G32" s="193"/>
    </row>
    <row r="33" spans="1:7" ht="42.75" customHeight="1" x14ac:dyDescent="0.25">
      <c r="A33" s="179" t="str">
        <f>+ĐCCN!$A$7</f>
        <v>- Căn cứ Hợp đồng kinh tế số 0412/HĐKT2025/TP-VIETPANEL ký ngày 04/12/2025 giữa Công ty TNHH xây dựng Việt Panel và Công ty Cổ phần Tập đoàn Thiết bị xây dựng TP về việc cho thuê thiết bị xây dựng.</v>
      </c>
      <c r="B33" s="179"/>
      <c r="C33" s="179"/>
      <c r="D33" s="179"/>
      <c r="E33" s="179"/>
      <c r="F33" s="179"/>
      <c r="G33" s="179"/>
    </row>
    <row r="34" spans="1:7" ht="16.5" x14ac:dyDescent="0.25">
      <c r="A34" s="194" t="s">
        <v>176</v>
      </c>
      <c r="B34" s="194"/>
      <c r="C34" s="194"/>
      <c r="D34" s="194"/>
      <c r="E34" s="194"/>
      <c r="F34" s="194"/>
      <c r="G34" s="194"/>
    </row>
    <row r="35" spans="1:7" ht="16.5" x14ac:dyDescent="0.25">
      <c r="A35" s="65"/>
      <c r="B35" s="179" t="s">
        <v>177</v>
      </c>
      <c r="C35" s="179"/>
      <c r="D35" s="179"/>
      <c r="E35" s="14">
        <f>'Giá trị'!J296</f>
        <v>884490707</v>
      </c>
      <c r="F35" s="15" t="s">
        <v>40</v>
      </c>
      <c r="G35" s="15"/>
    </row>
    <row r="36" spans="1:7" ht="16.5" x14ac:dyDescent="0.25">
      <c r="A36" s="75" t="str">
        <f>$A$13</f>
        <v>Bằng chữ:</v>
      </c>
      <c r="B36" s="75" t="str">
        <f>'Giá trị'!B297</f>
        <v>Tám trăm tám mươi tư triệu, bốn trăm chín mươi nghìn, bảy trăm linh bảy đồng./.</v>
      </c>
      <c r="C36" s="71"/>
      <c r="D36" s="71"/>
      <c r="E36" s="71"/>
      <c r="F36" s="71"/>
      <c r="G36" s="71"/>
    </row>
    <row r="37" spans="1:7" ht="37.5" customHeight="1" x14ac:dyDescent="0.25">
      <c r="A37" s="180" t="s">
        <v>46</v>
      </c>
      <c r="B37" s="180"/>
      <c r="C37" s="180"/>
      <c r="D37" s="180"/>
      <c r="E37" s="180"/>
      <c r="F37" s="180"/>
      <c r="G37" s="180"/>
    </row>
    <row r="38" spans="1:7" ht="27.75" customHeight="1" x14ac:dyDescent="0.25">
      <c r="A38" s="16"/>
      <c r="B38" s="180" t="s">
        <v>41</v>
      </c>
      <c r="C38" s="180"/>
      <c r="D38" s="181" t="s">
        <v>42</v>
      </c>
      <c r="E38" s="182"/>
      <c r="F38" s="182"/>
      <c r="G38" s="182"/>
    </row>
    <row r="39" spans="1:7" ht="27.75" customHeight="1" x14ac:dyDescent="0.25">
      <c r="A39" s="16"/>
      <c r="B39" s="179" t="s">
        <v>43</v>
      </c>
      <c r="C39" s="179"/>
      <c r="D39" s="179" t="s">
        <v>124</v>
      </c>
      <c r="E39" s="183"/>
      <c r="F39" s="183"/>
      <c r="G39" s="183"/>
    </row>
    <row r="40" spans="1:7" ht="39" customHeight="1" x14ac:dyDescent="0.25">
      <c r="A40" s="16"/>
      <c r="B40" s="179" t="s">
        <v>44</v>
      </c>
      <c r="C40" s="179"/>
      <c r="D40" s="180" t="s">
        <v>130</v>
      </c>
      <c r="E40" s="184"/>
      <c r="F40" s="184"/>
      <c r="G40" s="184"/>
    </row>
    <row r="41" spans="1:7" ht="16.5" x14ac:dyDescent="0.25">
      <c r="A41" s="185" t="s">
        <v>45</v>
      </c>
      <c r="B41" s="185"/>
      <c r="C41" s="185"/>
      <c r="D41" s="185"/>
      <c r="E41" s="185"/>
      <c r="F41" s="185"/>
      <c r="G41" s="185"/>
    </row>
    <row r="42" spans="1:7" ht="16.5" x14ac:dyDescent="0.25">
      <c r="A42" s="11"/>
      <c r="B42" s="11"/>
      <c r="C42" s="11"/>
      <c r="D42" s="11"/>
      <c r="E42" s="178" t="s">
        <v>35</v>
      </c>
      <c r="F42" s="178"/>
      <c r="G42" s="178"/>
    </row>
    <row r="43" spans="1:7" ht="16.5" x14ac:dyDescent="0.25">
      <c r="A43" s="11"/>
      <c r="B43" s="11"/>
      <c r="C43" s="11"/>
      <c r="D43" s="11"/>
      <c r="E43" s="178"/>
      <c r="F43" s="178"/>
      <c r="G43" s="178"/>
    </row>
    <row r="47" spans="1:7" ht="26.25" customHeight="1" x14ac:dyDescent="0.25">
      <c r="A47" s="186" t="s">
        <v>35</v>
      </c>
      <c r="B47" s="186"/>
      <c r="C47" s="186"/>
      <c r="D47" s="187" t="s">
        <v>36</v>
      </c>
      <c r="E47" s="187"/>
      <c r="F47" s="187"/>
      <c r="G47" s="187"/>
    </row>
    <row r="48" spans="1:7" ht="23.25" customHeight="1" x14ac:dyDescent="0.25">
      <c r="A48" s="186"/>
      <c r="B48" s="186"/>
      <c r="C48" s="186"/>
      <c r="D48" s="188" t="s">
        <v>2</v>
      </c>
      <c r="E48" s="188"/>
      <c r="F48" s="188"/>
      <c r="G48" s="188"/>
    </row>
    <row r="49" spans="1:7" ht="16.5" x14ac:dyDescent="0.25">
      <c r="A49" s="66"/>
      <c r="B49" s="66"/>
      <c r="C49" s="66"/>
      <c r="D49" s="66"/>
      <c r="E49" s="10"/>
      <c r="F49" s="10"/>
      <c r="G49" s="10"/>
    </row>
    <row r="50" spans="1:7" ht="16.5" x14ac:dyDescent="0.25">
      <c r="A50" s="11"/>
      <c r="B50" s="11"/>
      <c r="C50" s="11"/>
      <c r="D50" s="11"/>
      <c r="E50" s="11"/>
      <c r="F50" s="11"/>
      <c r="G50" s="12" t="s">
        <v>175</v>
      </c>
    </row>
    <row r="51" spans="1:7" ht="16.5" x14ac:dyDescent="0.25">
      <c r="A51" s="11"/>
      <c r="B51" s="11"/>
      <c r="C51" s="11"/>
      <c r="D51" s="11"/>
      <c r="E51" s="11"/>
      <c r="F51" s="11"/>
      <c r="G51" s="13"/>
    </row>
    <row r="52" spans="1:7" ht="25.5" x14ac:dyDescent="0.25">
      <c r="A52" s="189" t="s">
        <v>37</v>
      </c>
      <c r="B52" s="189"/>
      <c r="C52" s="189"/>
      <c r="D52" s="189"/>
      <c r="E52" s="189"/>
      <c r="F52" s="189"/>
      <c r="G52" s="189"/>
    </row>
    <row r="53" spans="1:7" ht="16.5" x14ac:dyDescent="0.25">
      <c r="A53" s="190"/>
      <c r="B53" s="191"/>
      <c r="C53" s="191"/>
      <c r="D53" s="191"/>
      <c r="E53" s="191"/>
      <c r="F53" s="191"/>
      <c r="G53" s="191"/>
    </row>
    <row r="54" spans="1:7" ht="32.25" customHeight="1" x14ac:dyDescent="0.25">
      <c r="A54" s="180" t="s">
        <v>133</v>
      </c>
      <c r="B54" s="192"/>
      <c r="C54" s="192"/>
      <c r="D54" s="192"/>
      <c r="E54" s="192"/>
      <c r="F54" s="192"/>
      <c r="G54" s="192"/>
    </row>
    <row r="55" spans="1:7" ht="30.75" customHeight="1" x14ac:dyDescent="0.25">
      <c r="A55" s="185" t="s">
        <v>38</v>
      </c>
      <c r="B55" s="193"/>
      <c r="C55" s="193"/>
      <c r="D55" s="193"/>
      <c r="E55" s="193"/>
      <c r="F55" s="193"/>
      <c r="G55" s="193"/>
    </row>
    <row r="56" spans="1:7" ht="51.75" customHeight="1" x14ac:dyDescent="0.25">
      <c r="A56" s="179" t="str">
        <f>+ĐCCN!$A$7</f>
        <v>- Căn cứ Hợp đồng kinh tế số 0412/HĐKT2025/TP-VIETPANEL ký ngày 04/12/2025 giữa Công ty TNHH xây dựng Việt Panel và Công ty Cổ phần Tập đoàn Thiết bị xây dựng TP về việc cho thuê thiết bị xây dựng.</v>
      </c>
      <c r="B56" s="179"/>
      <c r="C56" s="179"/>
      <c r="D56" s="179"/>
      <c r="E56" s="179"/>
      <c r="F56" s="179"/>
      <c r="G56" s="179"/>
    </row>
    <row r="57" spans="1:7" ht="21" customHeight="1" x14ac:dyDescent="0.25">
      <c r="A57" s="194" t="s">
        <v>256</v>
      </c>
      <c r="B57" s="194"/>
      <c r="C57" s="194"/>
      <c r="D57" s="194"/>
      <c r="E57" s="194"/>
      <c r="F57" s="194"/>
      <c r="G57" s="194"/>
    </row>
    <row r="58" spans="1:7" ht="22.5" customHeight="1" x14ac:dyDescent="0.25">
      <c r="A58" s="65"/>
      <c r="B58" s="179" t="s">
        <v>177</v>
      </c>
      <c r="C58" s="179"/>
      <c r="D58" s="179"/>
      <c r="E58" s="14">
        <f>+'Giá trị'!J390</f>
        <v>658759883</v>
      </c>
      <c r="F58" s="15" t="s">
        <v>40</v>
      </c>
      <c r="G58" s="15"/>
    </row>
    <row r="59" spans="1:7" ht="28.5" customHeight="1" x14ac:dyDescent="0.25">
      <c r="A59" s="75" t="str">
        <f>$A$13</f>
        <v>Bằng chữ:</v>
      </c>
      <c r="B59" s="75" t="str">
        <f>'Giá trị'!B391</f>
        <v>Sáu trăm năm mươi tám triệu, bảy trăm năm mươi chín nghìn, tám trăm tám mươi ba đồng./.</v>
      </c>
      <c r="C59" s="71"/>
      <c r="D59" s="71"/>
      <c r="E59" s="71"/>
      <c r="F59" s="71"/>
      <c r="G59" s="71"/>
    </row>
    <row r="60" spans="1:7" ht="33" customHeight="1" x14ac:dyDescent="0.25">
      <c r="A60" s="180" t="s">
        <v>46</v>
      </c>
      <c r="B60" s="180"/>
      <c r="C60" s="180"/>
      <c r="D60" s="180"/>
      <c r="E60" s="180"/>
      <c r="F60" s="180"/>
      <c r="G60" s="180"/>
    </row>
    <row r="61" spans="1:7" ht="24.75" customHeight="1" x14ac:dyDescent="0.25">
      <c r="A61" s="16"/>
      <c r="B61" s="180" t="s">
        <v>41</v>
      </c>
      <c r="C61" s="180"/>
      <c r="D61" s="181" t="s">
        <v>42</v>
      </c>
      <c r="E61" s="182"/>
      <c r="F61" s="182"/>
      <c r="G61" s="182"/>
    </row>
    <row r="62" spans="1:7" ht="24.75" customHeight="1" x14ac:dyDescent="0.25">
      <c r="A62" s="16"/>
      <c r="B62" s="179" t="s">
        <v>43</v>
      </c>
      <c r="C62" s="179"/>
      <c r="D62" s="179" t="s">
        <v>124</v>
      </c>
      <c r="E62" s="183"/>
      <c r="F62" s="183"/>
      <c r="G62" s="183"/>
    </row>
    <row r="63" spans="1:7" ht="37.5" customHeight="1" x14ac:dyDescent="0.25">
      <c r="A63" s="16"/>
      <c r="B63" s="179" t="s">
        <v>44</v>
      </c>
      <c r="C63" s="179"/>
      <c r="D63" s="180" t="s">
        <v>130</v>
      </c>
      <c r="E63" s="184"/>
      <c r="F63" s="184"/>
      <c r="G63" s="184"/>
    </row>
    <row r="64" spans="1:7" ht="16.5" x14ac:dyDescent="0.25">
      <c r="A64" s="185" t="s">
        <v>45</v>
      </c>
      <c r="B64" s="185"/>
      <c r="C64" s="185"/>
      <c r="D64" s="185"/>
      <c r="E64" s="185"/>
      <c r="F64" s="185"/>
      <c r="G64" s="185"/>
    </row>
    <row r="65" spans="1:7" ht="16.5" x14ac:dyDescent="0.25">
      <c r="A65" s="11"/>
      <c r="B65" s="11"/>
      <c r="C65" s="11"/>
      <c r="D65" s="11"/>
      <c r="E65" s="178" t="s">
        <v>35</v>
      </c>
      <c r="F65" s="178"/>
      <c r="G65" s="178"/>
    </row>
    <row r="66" spans="1:7" ht="16.5" x14ac:dyDescent="0.25">
      <c r="A66" s="11"/>
      <c r="B66" s="11"/>
      <c r="C66" s="11"/>
      <c r="D66" s="11"/>
      <c r="E66" s="178"/>
      <c r="F66" s="178"/>
      <c r="G66" s="178"/>
    </row>
    <row r="72" spans="1:7" ht="16.5" x14ac:dyDescent="0.25">
      <c r="A72" s="186" t="s">
        <v>35</v>
      </c>
      <c r="B72" s="186"/>
      <c r="C72" s="186"/>
      <c r="D72" s="187" t="s">
        <v>36</v>
      </c>
      <c r="E72" s="187"/>
      <c r="F72" s="187"/>
      <c r="G72" s="187"/>
    </row>
    <row r="73" spans="1:7" ht="16.5" x14ac:dyDescent="0.25">
      <c r="A73" s="186"/>
      <c r="B73" s="186"/>
      <c r="C73" s="186"/>
      <c r="D73" s="188" t="s">
        <v>2</v>
      </c>
      <c r="E73" s="188"/>
      <c r="F73" s="188"/>
      <c r="G73" s="188"/>
    </row>
    <row r="74" spans="1:7" ht="16.5" x14ac:dyDescent="0.25">
      <c r="A74" s="66"/>
      <c r="B74" s="66"/>
      <c r="C74" s="66"/>
      <c r="D74" s="66"/>
      <c r="E74" s="10"/>
      <c r="F74" s="10"/>
      <c r="G74" s="10"/>
    </row>
    <row r="75" spans="1:7" ht="16.5" x14ac:dyDescent="0.25">
      <c r="A75" s="11"/>
      <c r="B75" s="11"/>
      <c r="C75" s="11"/>
      <c r="D75" s="11"/>
      <c r="E75" s="11"/>
      <c r="F75" s="11"/>
      <c r="G75" s="12" t="s">
        <v>175</v>
      </c>
    </row>
    <row r="76" spans="1:7" ht="16.5" x14ac:dyDescent="0.25">
      <c r="A76" s="11"/>
      <c r="B76" s="11"/>
      <c r="C76" s="11"/>
      <c r="D76" s="11"/>
      <c r="E76" s="11"/>
      <c r="F76" s="11"/>
      <c r="G76" s="13"/>
    </row>
    <row r="77" spans="1:7" ht="25.5" x14ac:dyDescent="0.25">
      <c r="A77" s="189" t="s">
        <v>37</v>
      </c>
      <c r="B77" s="189"/>
      <c r="C77" s="189"/>
      <c r="D77" s="189"/>
      <c r="E77" s="189"/>
      <c r="F77" s="189"/>
      <c r="G77" s="189"/>
    </row>
    <row r="78" spans="1:7" ht="16.5" x14ac:dyDescent="0.25">
      <c r="A78" s="190"/>
      <c r="B78" s="191"/>
      <c r="C78" s="191"/>
      <c r="D78" s="191"/>
      <c r="E78" s="191"/>
      <c r="F78" s="191"/>
      <c r="G78" s="191"/>
    </row>
    <row r="79" spans="1:7" ht="21.75" customHeight="1" x14ac:dyDescent="0.25">
      <c r="A79" s="180" t="s">
        <v>133</v>
      </c>
      <c r="B79" s="192"/>
      <c r="C79" s="192"/>
      <c r="D79" s="192"/>
      <c r="E79" s="192"/>
      <c r="F79" s="192"/>
      <c r="G79" s="192"/>
    </row>
    <row r="80" spans="1:7" ht="32.25" customHeight="1" x14ac:dyDescent="0.25">
      <c r="A80" s="185" t="s">
        <v>38</v>
      </c>
      <c r="B80" s="193"/>
      <c r="C80" s="193"/>
      <c r="D80" s="193"/>
      <c r="E80" s="193"/>
      <c r="F80" s="193"/>
      <c r="G80" s="193"/>
    </row>
    <row r="81" spans="1:7" ht="42.75" customHeight="1" x14ac:dyDescent="0.25">
      <c r="A81" s="179" t="str">
        <f>+ĐCCN!$A$7</f>
        <v>- Căn cứ Hợp đồng kinh tế số 0412/HĐKT2025/TP-VIETPANEL ký ngày 04/12/2025 giữa Công ty TNHH xây dựng Việt Panel và Công ty Cổ phần Tập đoàn Thiết bị xây dựng TP về việc cho thuê thiết bị xây dựng.</v>
      </c>
      <c r="B81" s="179"/>
      <c r="C81" s="179"/>
      <c r="D81" s="179"/>
      <c r="E81" s="179"/>
      <c r="F81" s="179"/>
      <c r="G81" s="179"/>
    </row>
    <row r="82" spans="1:7" ht="26.25" customHeight="1" x14ac:dyDescent="0.25">
      <c r="A82" s="194" t="s">
        <v>263</v>
      </c>
      <c r="B82" s="194"/>
      <c r="C82" s="194"/>
      <c r="D82" s="194"/>
      <c r="E82" s="194"/>
      <c r="F82" s="194"/>
      <c r="G82" s="194"/>
    </row>
    <row r="83" spans="1:7" ht="26.25" customHeight="1" x14ac:dyDescent="0.25">
      <c r="A83" s="65"/>
      <c r="B83" s="179" t="s">
        <v>177</v>
      </c>
      <c r="C83" s="179"/>
      <c r="D83" s="179"/>
      <c r="E83" s="14">
        <f>+'Giá trị'!J460</f>
        <v>1284088006</v>
      </c>
      <c r="F83" s="15" t="s">
        <v>40</v>
      </c>
      <c r="G83" s="15"/>
    </row>
    <row r="84" spans="1:7" ht="26.25" customHeight="1" x14ac:dyDescent="0.25">
      <c r="A84" s="75" t="str">
        <f>$A$13</f>
        <v>Bằng chữ:</v>
      </c>
      <c r="B84" s="75" t="str">
        <f>'Giá trị'!B461</f>
        <v>Một tỷ, hai trăm tám mươi tư triệu, không trăm tám mươi tám nghìn, không trăm linh sáu đồng./.</v>
      </c>
      <c r="C84" s="71"/>
      <c r="D84" s="71"/>
      <c r="E84" s="71"/>
      <c r="F84" s="71"/>
      <c r="G84" s="71"/>
    </row>
    <row r="85" spans="1:7" ht="26.25" customHeight="1" x14ac:dyDescent="0.25">
      <c r="A85" s="180" t="s">
        <v>46</v>
      </c>
      <c r="B85" s="180"/>
      <c r="C85" s="180"/>
      <c r="D85" s="180"/>
      <c r="E85" s="180"/>
      <c r="F85" s="180"/>
      <c r="G85" s="180"/>
    </row>
    <row r="86" spans="1:7" ht="26.25" customHeight="1" x14ac:dyDescent="0.25">
      <c r="A86" s="16"/>
      <c r="B86" s="180" t="s">
        <v>41</v>
      </c>
      <c r="C86" s="180"/>
      <c r="D86" s="181" t="s">
        <v>42</v>
      </c>
      <c r="E86" s="182"/>
      <c r="F86" s="182"/>
      <c r="G86" s="182"/>
    </row>
    <row r="87" spans="1:7" ht="26.25" customHeight="1" x14ac:dyDescent="0.25">
      <c r="A87" s="16"/>
      <c r="B87" s="179" t="s">
        <v>43</v>
      </c>
      <c r="C87" s="179"/>
      <c r="D87" s="179" t="s">
        <v>124</v>
      </c>
      <c r="E87" s="183"/>
      <c r="F87" s="183"/>
      <c r="G87" s="183"/>
    </row>
    <row r="88" spans="1:7" ht="26.25" customHeight="1" x14ac:dyDescent="0.25">
      <c r="A88" s="16"/>
      <c r="B88" s="179" t="s">
        <v>44</v>
      </c>
      <c r="C88" s="179"/>
      <c r="D88" s="180" t="s">
        <v>130</v>
      </c>
      <c r="E88" s="184"/>
      <c r="F88" s="184"/>
      <c r="G88" s="184"/>
    </row>
    <row r="89" spans="1:7" ht="26.25" customHeight="1" x14ac:dyDescent="0.25">
      <c r="A89" s="185" t="s">
        <v>45</v>
      </c>
      <c r="B89" s="185"/>
      <c r="C89" s="185"/>
      <c r="D89" s="185"/>
      <c r="E89" s="185"/>
      <c r="F89" s="185"/>
      <c r="G89" s="185"/>
    </row>
    <row r="90" spans="1:7" ht="16.5" x14ac:dyDescent="0.25">
      <c r="A90" s="11"/>
      <c r="B90" s="11"/>
      <c r="C90" s="11"/>
      <c r="D90" s="11"/>
      <c r="E90" s="178" t="s">
        <v>35</v>
      </c>
      <c r="F90" s="178"/>
      <c r="G90" s="178"/>
    </row>
    <row r="91" spans="1:7" ht="16.5" x14ac:dyDescent="0.25">
      <c r="A91" s="11"/>
      <c r="B91" s="11"/>
      <c r="C91" s="11"/>
      <c r="D91" s="11"/>
      <c r="E91" s="178"/>
      <c r="F91" s="178"/>
      <c r="G91" s="178"/>
    </row>
    <row r="97" spans="1:7" ht="16.5" x14ac:dyDescent="0.25">
      <c r="A97" s="186" t="s">
        <v>35</v>
      </c>
      <c r="B97" s="186"/>
      <c r="C97" s="186"/>
      <c r="D97" s="187" t="s">
        <v>36</v>
      </c>
      <c r="E97" s="187"/>
      <c r="F97" s="187"/>
      <c r="G97" s="187"/>
    </row>
    <row r="98" spans="1:7" ht="16.5" x14ac:dyDescent="0.25">
      <c r="A98" s="186"/>
      <c r="B98" s="186"/>
      <c r="C98" s="186"/>
      <c r="D98" s="188" t="s">
        <v>2</v>
      </c>
      <c r="E98" s="188"/>
      <c r="F98" s="188"/>
      <c r="G98" s="188"/>
    </row>
    <row r="99" spans="1:7" ht="16.5" x14ac:dyDescent="0.25">
      <c r="A99" s="66"/>
      <c r="B99" s="66"/>
      <c r="C99" s="66"/>
      <c r="D99" s="66"/>
      <c r="E99" s="10"/>
      <c r="F99" s="10"/>
      <c r="G99" s="10"/>
    </row>
    <row r="100" spans="1:7" ht="16.5" x14ac:dyDescent="0.25">
      <c r="A100" s="11"/>
      <c r="B100" s="11"/>
      <c r="C100" s="11"/>
      <c r="D100" s="11"/>
      <c r="E100" s="11"/>
      <c r="F100" s="11"/>
      <c r="G100" s="12" t="s">
        <v>175</v>
      </c>
    </row>
    <row r="101" spans="1:7" ht="16.5" x14ac:dyDescent="0.25">
      <c r="A101" s="11"/>
      <c r="B101" s="11"/>
      <c r="C101" s="11"/>
      <c r="D101" s="11"/>
      <c r="E101" s="11"/>
      <c r="F101" s="11"/>
      <c r="G101" s="13"/>
    </row>
    <row r="102" spans="1:7" ht="25.5" x14ac:dyDescent="0.25">
      <c r="A102" s="189" t="s">
        <v>37</v>
      </c>
      <c r="B102" s="189"/>
      <c r="C102" s="189"/>
      <c r="D102" s="189"/>
      <c r="E102" s="189"/>
      <c r="F102" s="189"/>
      <c r="G102" s="189"/>
    </row>
    <row r="103" spans="1:7" ht="16.5" x14ac:dyDescent="0.25">
      <c r="A103" s="190"/>
      <c r="B103" s="191"/>
      <c r="C103" s="191"/>
      <c r="D103" s="191"/>
      <c r="E103" s="191"/>
      <c r="F103" s="191"/>
      <c r="G103" s="191"/>
    </row>
    <row r="104" spans="1:7" ht="16.5" x14ac:dyDescent="0.25">
      <c r="A104" s="180" t="s">
        <v>133</v>
      </c>
      <c r="B104" s="192"/>
      <c r="C104" s="192"/>
      <c r="D104" s="192"/>
      <c r="E104" s="192"/>
      <c r="F104" s="192"/>
      <c r="G104" s="192"/>
    </row>
    <row r="105" spans="1:7" ht="16.5" x14ac:dyDescent="0.25">
      <c r="A105" s="185" t="s">
        <v>38</v>
      </c>
      <c r="B105" s="193"/>
      <c r="C105" s="193"/>
      <c r="D105" s="193"/>
      <c r="E105" s="193"/>
      <c r="F105" s="193"/>
      <c r="G105" s="193"/>
    </row>
    <row r="106" spans="1:7" ht="39" customHeight="1" x14ac:dyDescent="0.25">
      <c r="A106" s="179" t="str">
        <f>+ĐCCN!$A$7</f>
        <v>- Căn cứ Hợp đồng kinh tế số 0412/HĐKT2025/TP-VIETPANEL ký ngày 04/12/2025 giữa Công ty TNHH xây dựng Việt Panel và Công ty Cổ phần Tập đoàn Thiết bị xây dựng TP về việc cho thuê thiết bị xây dựng.</v>
      </c>
      <c r="B106" s="179"/>
      <c r="C106" s="179"/>
      <c r="D106" s="179"/>
      <c r="E106" s="179"/>
      <c r="F106" s="179"/>
      <c r="G106" s="179"/>
    </row>
    <row r="107" spans="1:7" ht="35.25" customHeight="1" x14ac:dyDescent="0.25">
      <c r="A107" s="194" t="s">
        <v>281</v>
      </c>
      <c r="B107" s="194"/>
      <c r="C107" s="194"/>
      <c r="D107" s="194"/>
      <c r="E107" s="194"/>
      <c r="F107" s="194"/>
      <c r="G107" s="194"/>
    </row>
    <row r="108" spans="1:7" ht="16.5" x14ac:dyDescent="0.25">
      <c r="A108" s="65"/>
      <c r="B108" s="179" t="s">
        <v>177</v>
      </c>
      <c r="C108" s="179"/>
      <c r="D108" s="179"/>
      <c r="E108" s="14">
        <f>+'Giá trị'!J522</f>
        <v>1426564386</v>
      </c>
      <c r="F108" s="15" t="s">
        <v>40</v>
      </c>
      <c r="G108" s="15"/>
    </row>
    <row r="109" spans="1:7" ht="24" customHeight="1" x14ac:dyDescent="0.25">
      <c r="A109" s="75" t="str">
        <f>$A$13</f>
        <v>Bằng chữ:</v>
      </c>
      <c r="B109" s="75" t="str">
        <f>'Giá trị'!B523</f>
        <v>Một tỷ, bốn trăm hai mươi sáu triệu, năm trăm sáu mươi tư nghìn, ba trăm tám mươi sáu đồng./.</v>
      </c>
      <c r="C109" s="71"/>
      <c r="D109" s="71"/>
      <c r="E109" s="71"/>
      <c r="F109" s="71"/>
      <c r="G109" s="71"/>
    </row>
    <row r="110" spans="1:7" ht="37.5" customHeight="1" x14ac:dyDescent="0.25">
      <c r="A110" s="180" t="s">
        <v>46</v>
      </c>
      <c r="B110" s="180"/>
      <c r="C110" s="180"/>
      <c r="D110" s="180"/>
      <c r="E110" s="180"/>
      <c r="F110" s="180"/>
      <c r="G110" s="180"/>
    </row>
    <row r="111" spans="1:7" ht="25.5" customHeight="1" x14ac:dyDescent="0.25">
      <c r="A111" s="16"/>
      <c r="B111" s="180" t="s">
        <v>41</v>
      </c>
      <c r="C111" s="180"/>
      <c r="D111" s="181" t="s">
        <v>42</v>
      </c>
      <c r="E111" s="182"/>
      <c r="F111" s="182"/>
      <c r="G111" s="182"/>
    </row>
    <row r="112" spans="1:7" ht="26.25" customHeight="1" x14ac:dyDescent="0.25">
      <c r="A112" s="16"/>
      <c r="B112" s="179" t="s">
        <v>43</v>
      </c>
      <c r="C112" s="179"/>
      <c r="D112" s="179" t="s">
        <v>124</v>
      </c>
      <c r="E112" s="183"/>
      <c r="F112" s="183"/>
      <c r="G112" s="183"/>
    </row>
    <row r="113" spans="1:7" ht="38.25" customHeight="1" x14ac:dyDescent="0.25">
      <c r="A113" s="16"/>
      <c r="B113" s="179" t="s">
        <v>44</v>
      </c>
      <c r="C113" s="179"/>
      <c r="D113" s="180" t="s">
        <v>130</v>
      </c>
      <c r="E113" s="184"/>
      <c r="F113" s="184"/>
      <c r="G113" s="184"/>
    </row>
    <row r="114" spans="1:7" ht="16.5" x14ac:dyDescent="0.25">
      <c r="A114" s="185" t="s">
        <v>45</v>
      </c>
      <c r="B114" s="185"/>
      <c r="C114" s="185"/>
      <c r="D114" s="185"/>
      <c r="E114" s="185"/>
      <c r="F114" s="185"/>
      <c r="G114" s="185"/>
    </row>
    <row r="115" spans="1:7" ht="16.5" x14ac:dyDescent="0.25">
      <c r="A115" s="11"/>
      <c r="B115" s="11"/>
      <c r="C115" s="11"/>
      <c r="D115" s="11"/>
      <c r="E115" s="178" t="s">
        <v>35</v>
      </c>
      <c r="F115" s="178"/>
      <c r="G115" s="178"/>
    </row>
    <row r="116" spans="1:7" ht="16.5" x14ac:dyDescent="0.25">
      <c r="A116" s="11"/>
      <c r="B116" s="11"/>
      <c r="C116" s="11"/>
      <c r="D116" s="11"/>
      <c r="E116" s="178"/>
      <c r="F116" s="178"/>
      <c r="G116" s="178"/>
    </row>
    <row r="121" spans="1:7" ht="16.5" x14ac:dyDescent="0.25">
      <c r="A121" s="186" t="s">
        <v>35</v>
      </c>
      <c r="B121" s="186"/>
      <c r="C121" s="186"/>
      <c r="D121" s="187" t="s">
        <v>36</v>
      </c>
      <c r="E121" s="187"/>
      <c r="F121" s="187"/>
      <c r="G121" s="187"/>
    </row>
    <row r="122" spans="1:7" ht="16.5" x14ac:dyDescent="0.25">
      <c r="A122" s="186"/>
      <c r="B122" s="186"/>
      <c r="C122" s="186"/>
      <c r="D122" s="188" t="s">
        <v>2</v>
      </c>
      <c r="E122" s="188"/>
      <c r="F122" s="188"/>
      <c r="G122" s="188"/>
    </row>
    <row r="123" spans="1:7" ht="16.5" x14ac:dyDescent="0.25">
      <c r="A123" s="66"/>
      <c r="B123" s="66"/>
      <c r="C123" s="66"/>
      <c r="D123" s="66"/>
      <c r="E123" s="10"/>
      <c r="F123" s="10"/>
      <c r="G123" s="10"/>
    </row>
    <row r="124" spans="1:7" ht="16.5" x14ac:dyDescent="0.25">
      <c r="A124" s="11"/>
      <c r="B124" s="11"/>
      <c r="C124" s="11"/>
      <c r="D124" s="11"/>
      <c r="E124" s="11"/>
      <c r="F124" s="11"/>
      <c r="G124" s="12" t="s">
        <v>175</v>
      </c>
    </row>
    <row r="125" spans="1:7" ht="16.5" x14ac:dyDescent="0.25">
      <c r="A125" s="11"/>
      <c r="B125" s="11"/>
      <c r="C125" s="11"/>
      <c r="D125" s="11"/>
      <c r="E125" s="11"/>
      <c r="F125" s="11"/>
      <c r="G125" s="13"/>
    </row>
    <row r="126" spans="1:7" ht="25.5" x14ac:dyDescent="0.25">
      <c r="A126" s="189" t="s">
        <v>37</v>
      </c>
      <c r="B126" s="189"/>
      <c r="C126" s="189"/>
      <c r="D126" s="189"/>
      <c r="E126" s="189"/>
      <c r="F126" s="189"/>
      <c r="G126" s="189"/>
    </row>
    <row r="127" spans="1:7" ht="16.5" x14ac:dyDescent="0.25">
      <c r="A127" s="190"/>
      <c r="B127" s="191"/>
      <c r="C127" s="191"/>
      <c r="D127" s="191"/>
      <c r="E127" s="191"/>
      <c r="F127" s="191"/>
      <c r="G127" s="191"/>
    </row>
    <row r="128" spans="1:7" ht="25.5" customHeight="1" x14ac:dyDescent="0.25">
      <c r="A128" s="180" t="s">
        <v>133</v>
      </c>
      <c r="B128" s="192"/>
      <c r="C128" s="192"/>
      <c r="D128" s="192"/>
      <c r="E128" s="192"/>
      <c r="F128" s="192"/>
      <c r="G128" s="192"/>
    </row>
    <row r="129" spans="1:7" ht="24" customHeight="1" x14ac:dyDescent="0.25">
      <c r="A129" s="185" t="s">
        <v>38</v>
      </c>
      <c r="B129" s="193"/>
      <c r="C129" s="193"/>
      <c r="D129" s="193"/>
      <c r="E129" s="193"/>
      <c r="F129" s="193"/>
      <c r="G129" s="193"/>
    </row>
    <row r="130" spans="1:7" ht="35.25" customHeight="1" x14ac:dyDescent="0.25">
      <c r="A130" s="179" t="str">
        <f>+ĐCCN!$A$7</f>
        <v>- Căn cứ Hợp đồng kinh tế số 0412/HĐKT2025/TP-VIETPANEL ký ngày 04/12/2025 giữa Công ty TNHH xây dựng Việt Panel và Công ty Cổ phần Tập đoàn Thiết bị xây dựng TP về việc cho thuê thiết bị xây dựng.</v>
      </c>
      <c r="B130" s="179"/>
      <c r="C130" s="179"/>
      <c r="D130" s="179"/>
      <c r="E130" s="179"/>
      <c r="F130" s="179"/>
      <c r="G130" s="179"/>
    </row>
    <row r="131" spans="1:7" ht="21.75" customHeight="1" x14ac:dyDescent="0.25">
      <c r="A131" s="194" t="s">
        <v>291</v>
      </c>
      <c r="B131" s="194"/>
      <c r="C131" s="194"/>
      <c r="D131" s="194"/>
      <c r="E131" s="194"/>
      <c r="F131" s="194"/>
      <c r="G131" s="194"/>
    </row>
    <row r="132" spans="1:7" ht="16.5" x14ac:dyDescent="0.25">
      <c r="A132" s="65"/>
      <c r="B132" s="179" t="s">
        <v>177</v>
      </c>
      <c r="C132" s="179"/>
      <c r="D132" s="179"/>
      <c r="E132" s="14">
        <f>+'Giá trị'!J625</f>
        <v>1325047770</v>
      </c>
      <c r="F132" s="15" t="s">
        <v>40</v>
      </c>
      <c r="G132" s="15"/>
    </row>
    <row r="133" spans="1:7" ht="16.5" x14ac:dyDescent="0.25">
      <c r="A133" s="75" t="str">
        <f>$A$13</f>
        <v>Bằng chữ:</v>
      </c>
      <c r="B133" s="75" t="str">
        <f>'Giá trị'!B626</f>
        <v>Một tỷ, ba trăm hai mươi lăm triệu, không trăm bốn mươi bảy nghìn, bảy trăm bảy mươi đồng./.</v>
      </c>
      <c r="C133" s="71"/>
      <c r="D133" s="71"/>
      <c r="E133" s="71"/>
      <c r="F133" s="71"/>
      <c r="G133" s="71"/>
    </row>
    <row r="134" spans="1:7" ht="35.25" customHeight="1" x14ac:dyDescent="0.25">
      <c r="A134" s="180" t="s">
        <v>46</v>
      </c>
      <c r="B134" s="180"/>
      <c r="C134" s="180"/>
      <c r="D134" s="180"/>
      <c r="E134" s="180"/>
      <c r="F134" s="180"/>
      <c r="G134" s="180"/>
    </row>
    <row r="135" spans="1:7" ht="23.25" customHeight="1" x14ac:dyDescent="0.25">
      <c r="A135" s="16"/>
      <c r="B135" s="180" t="s">
        <v>41</v>
      </c>
      <c r="C135" s="180"/>
      <c r="D135" s="181" t="s">
        <v>42</v>
      </c>
      <c r="E135" s="182"/>
      <c r="F135" s="182"/>
      <c r="G135" s="182"/>
    </row>
    <row r="136" spans="1:7" ht="23.25" customHeight="1" x14ac:dyDescent="0.25">
      <c r="A136" s="16"/>
      <c r="B136" s="179" t="s">
        <v>43</v>
      </c>
      <c r="C136" s="179"/>
      <c r="D136" s="179" t="s">
        <v>124</v>
      </c>
      <c r="E136" s="183"/>
      <c r="F136" s="183"/>
      <c r="G136" s="183"/>
    </row>
    <row r="137" spans="1:7" ht="35.25" customHeight="1" x14ac:dyDescent="0.25">
      <c r="A137" s="16"/>
      <c r="B137" s="179" t="s">
        <v>44</v>
      </c>
      <c r="C137" s="179"/>
      <c r="D137" s="180" t="s">
        <v>130</v>
      </c>
      <c r="E137" s="184"/>
      <c r="F137" s="184"/>
      <c r="G137" s="184"/>
    </row>
    <row r="138" spans="1:7" ht="16.5" x14ac:dyDescent="0.25">
      <c r="A138" s="185" t="s">
        <v>45</v>
      </c>
      <c r="B138" s="185"/>
      <c r="C138" s="185"/>
      <c r="D138" s="185"/>
      <c r="E138" s="185"/>
      <c r="F138" s="185"/>
      <c r="G138" s="185"/>
    </row>
    <row r="139" spans="1:7" ht="16.5" x14ac:dyDescent="0.25">
      <c r="A139" s="11"/>
      <c r="B139" s="11"/>
      <c r="C139" s="11"/>
      <c r="D139" s="11"/>
      <c r="E139" s="178" t="s">
        <v>35</v>
      </c>
      <c r="F139" s="178"/>
      <c r="G139" s="178"/>
    </row>
    <row r="140" spans="1:7" ht="16.5" x14ac:dyDescent="0.25">
      <c r="A140" s="11"/>
      <c r="B140" s="11"/>
      <c r="C140" s="11"/>
      <c r="D140" s="11"/>
      <c r="E140" s="178"/>
      <c r="F140" s="178"/>
      <c r="G140" s="178"/>
    </row>
    <row r="145" spans="1:7" ht="16.5" x14ac:dyDescent="0.25">
      <c r="A145" s="186" t="s">
        <v>35</v>
      </c>
      <c r="B145" s="186"/>
      <c r="C145" s="186"/>
      <c r="D145" s="187" t="s">
        <v>36</v>
      </c>
      <c r="E145" s="187"/>
      <c r="F145" s="187"/>
      <c r="G145" s="187"/>
    </row>
    <row r="146" spans="1:7" ht="16.5" x14ac:dyDescent="0.25">
      <c r="A146" s="186"/>
      <c r="B146" s="186"/>
      <c r="C146" s="186"/>
      <c r="D146" s="188" t="s">
        <v>2</v>
      </c>
      <c r="E146" s="188"/>
      <c r="F146" s="188"/>
      <c r="G146" s="188"/>
    </row>
    <row r="147" spans="1:7" ht="16.5" x14ac:dyDescent="0.25">
      <c r="A147" s="120"/>
      <c r="B147" s="120"/>
      <c r="C147" s="120"/>
      <c r="D147" s="120"/>
      <c r="E147" s="10"/>
      <c r="F147" s="10"/>
      <c r="G147" s="10"/>
    </row>
    <row r="148" spans="1:7" ht="16.5" x14ac:dyDescent="0.25">
      <c r="A148" s="11"/>
      <c r="B148" s="11"/>
      <c r="C148" s="11"/>
      <c r="D148" s="11"/>
      <c r="E148" s="11"/>
      <c r="F148" s="11"/>
      <c r="G148" s="12" t="s">
        <v>175</v>
      </c>
    </row>
    <row r="149" spans="1:7" ht="16.5" x14ac:dyDescent="0.25">
      <c r="A149" s="11"/>
      <c r="B149" s="11"/>
      <c r="C149" s="11"/>
      <c r="D149" s="11"/>
      <c r="E149" s="11"/>
      <c r="F149" s="11"/>
      <c r="G149" s="13"/>
    </row>
    <row r="150" spans="1:7" ht="25.5" x14ac:dyDescent="0.25">
      <c r="A150" s="189" t="s">
        <v>37</v>
      </c>
      <c r="B150" s="189"/>
      <c r="C150" s="189"/>
      <c r="D150" s="189"/>
      <c r="E150" s="189"/>
      <c r="F150" s="189"/>
      <c r="G150" s="189"/>
    </row>
    <row r="151" spans="1:7" ht="16.5" x14ac:dyDescent="0.25">
      <c r="A151" s="190"/>
      <c r="B151" s="191"/>
      <c r="C151" s="191"/>
      <c r="D151" s="191"/>
      <c r="E151" s="191"/>
      <c r="F151" s="191"/>
      <c r="G151" s="191"/>
    </row>
    <row r="152" spans="1:7" ht="25.5" customHeight="1" x14ac:dyDescent="0.25">
      <c r="A152" s="180" t="s">
        <v>133</v>
      </c>
      <c r="B152" s="192"/>
      <c r="C152" s="192"/>
      <c r="D152" s="192"/>
      <c r="E152" s="192"/>
      <c r="F152" s="192"/>
      <c r="G152" s="192"/>
    </row>
    <row r="153" spans="1:7" ht="24" customHeight="1" x14ac:dyDescent="0.25">
      <c r="A153" s="185" t="s">
        <v>38</v>
      </c>
      <c r="B153" s="193"/>
      <c r="C153" s="193"/>
      <c r="D153" s="193"/>
      <c r="E153" s="193"/>
      <c r="F153" s="193"/>
      <c r="G153" s="193"/>
    </row>
    <row r="154" spans="1:7" ht="35.25" customHeight="1" x14ac:dyDescent="0.25">
      <c r="A154" s="179" t="str">
        <f>+ĐCCN!$A$7</f>
        <v>- Căn cứ Hợp đồng kinh tế số 0412/HĐKT2025/TP-VIETPANEL ký ngày 04/12/2025 giữa Công ty TNHH xây dựng Việt Panel và Công ty Cổ phần Tập đoàn Thiết bị xây dựng TP về việc cho thuê thiết bị xây dựng.</v>
      </c>
      <c r="B154" s="179"/>
      <c r="C154" s="179"/>
      <c r="D154" s="179"/>
      <c r="E154" s="179"/>
      <c r="F154" s="179"/>
      <c r="G154" s="179"/>
    </row>
    <row r="155" spans="1:7" ht="21.75" customHeight="1" x14ac:dyDescent="0.25">
      <c r="A155" s="194" t="s">
        <v>298</v>
      </c>
      <c r="B155" s="194"/>
      <c r="C155" s="194"/>
      <c r="D155" s="194"/>
      <c r="E155" s="194"/>
      <c r="F155" s="194"/>
      <c r="G155" s="194"/>
    </row>
    <row r="156" spans="1:7" ht="16.5" x14ac:dyDescent="0.25">
      <c r="A156" s="122"/>
      <c r="B156" s="179" t="s">
        <v>177</v>
      </c>
      <c r="C156" s="179"/>
      <c r="D156" s="179"/>
      <c r="E156" s="14">
        <f>'Giá trị'!J738</f>
        <v>1210462443</v>
      </c>
      <c r="F156" s="15" t="s">
        <v>40</v>
      </c>
      <c r="G156" s="15"/>
    </row>
    <row r="157" spans="1:7" ht="16.5" x14ac:dyDescent="0.25">
      <c r="A157" s="75" t="str">
        <f>$A$13</f>
        <v>Bằng chữ:</v>
      </c>
      <c r="B157" s="75" t="str">
        <f>'Giá trị'!B739</f>
        <v>Một tỷ, hai trăm mười triệu, bốn trăm sáu mươi hai nghìn, bốn trăm bốn mươi ba đồng./.</v>
      </c>
      <c r="C157" s="121"/>
      <c r="D157" s="121"/>
      <c r="E157" s="121"/>
      <c r="F157" s="121"/>
      <c r="G157" s="121"/>
    </row>
    <row r="158" spans="1:7" ht="35.25" customHeight="1" x14ac:dyDescent="0.25">
      <c r="A158" s="180" t="s">
        <v>46</v>
      </c>
      <c r="B158" s="180"/>
      <c r="C158" s="180"/>
      <c r="D158" s="180"/>
      <c r="E158" s="180"/>
      <c r="F158" s="180"/>
      <c r="G158" s="180"/>
    </row>
    <row r="159" spans="1:7" ht="23.25" customHeight="1" x14ac:dyDescent="0.25">
      <c r="A159" s="16"/>
      <c r="B159" s="180" t="s">
        <v>41</v>
      </c>
      <c r="C159" s="180"/>
      <c r="D159" s="181" t="s">
        <v>42</v>
      </c>
      <c r="E159" s="182"/>
      <c r="F159" s="182"/>
      <c r="G159" s="182"/>
    </row>
    <row r="160" spans="1:7" ht="23.25" customHeight="1" x14ac:dyDescent="0.25">
      <c r="A160" s="16"/>
      <c r="B160" s="179" t="s">
        <v>43</v>
      </c>
      <c r="C160" s="179"/>
      <c r="D160" s="179" t="s">
        <v>124</v>
      </c>
      <c r="E160" s="183"/>
      <c r="F160" s="183"/>
      <c r="G160" s="183"/>
    </row>
    <row r="161" spans="1:7" ht="35.25" customHeight="1" x14ac:dyDescent="0.25">
      <c r="A161" s="16"/>
      <c r="B161" s="179" t="s">
        <v>44</v>
      </c>
      <c r="C161" s="179"/>
      <c r="D161" s="180" t="s">
        <v>130</v>
      </c>
      <c r="E161" s="184"/>
      <c r="F161" s="184"/>
      <c r="G161" s="184"/>
    </row>
    <row r="162" spans="1:7" ht="16.5" x14ac:dyDescent="0.25">
      <c r="A162" s="185" t="s">
        <v>45</v>
      </c>
      <c r="B162" s="185"/>
      <c r="C162" s="185"/>
      <c r="D162" s="185"/>
      <c r="E162" s="185"/>
      <c r="F162" s="185"/>
      <c r="G162" s="185"/>
    </row>
    <row r="163" spans="1:7" ht="16.5" x14ac:dyDescent="0.25">
      <c r="A163" s="11"/>
      <c r="B163" s="11"/>
      <c r="C163" s="11"/>
      <c r="D163" s="11"/>
      <c r="E163" s="178" t="s">
        <v>35</v>
      </c>
      <c r="F163" s="178"/>
      <c r="G163" s="178"/>
    </row>
    <row r="164" spans="1:7" ht="16.5" x14ac:dyDescent="0.25">
      <c r="A164" s="11"/>
      <c r="B164" s="11"/>
      <c r="C164" s="11"/>
      <c r="D164" s="11"/>
      <c r="E164" s="178"/>
      <c r="F164" s="178"/>
      <c r="G164" s="178"/>
    </row>
    <row r="169" spans="1:7" ht="16.5" x14ac:dyDescent="0.25">
      <c r="A169" s="186" t="s">
        <v>35</v>
      </c>
      <c r="B169" s="186"/>
      <c r="C169" s="186"/>
      <c r="D169" s="187" t="s">
        <v>36</v>
      </c>
      <c r="E169" s="187"/>
      <c r="F169" s="187"/>
      <c r="G169" s="187"/>
    </row>
    <row r="170" spans="1:7" ht="16.5" x14ac:dyDescent="0.25">
      <c r="A170" s="186"/>
      <c r="B170" s="186"/>
      <c r="C170" s="186"/>
      <c r="D170" s="188" t="s">
        <v>2</v>
      </c>
      <c r="E170" s="188"/>
      <c r="F170" s="188"/>
      <c r="G170" s="188"/>
    </row>
    <row r="171" spans="1:7" ht="16.5" x14ac:dyDescent="0.25">
      <c r="A171" s="138"/>
      <c r="B171" s="138"/>
      <c r="C171" s="138"/>
      <c r="D171" s="138"/>
      <c r="E171" s="10"/>
      <c r="F171" s="10"/>
      <c r="G171" s="10"/>
    </row>
    <row r="172" spans="1:7" ht="16.5" x14ac:dyDescent="0.25">
      <c r="A172" s="11"/>
      <c r="B172" s="11"/>
      <c r="C172" s="11"/>
      <c r="D172" s="11"/>
      <c r="E172" s="11"/>
      <c r="F172" s="11"/>
      <c r="G172" s="12" t="s">
        <v>175</v>
      </c>
    </row>
    <row r="173" spans="1:7" ht="16.5" x14ac:dyDescent="0.25">
      <c r="A173" s="11"/>
      <c r="B173" s="11"/>
      <c r="C173" s="11"/>
      <c r="D173" s="11"/>
      <c r="E173" s="11"/>
      <c r="F173" s="11"/>
      <c r="G173" s="13"/>
    </row>
    <row r="174" spans="1:7" ht="25.5" x14ac:dyDescent="0.25">
      <c r="A174" s="189" t="s">
        <v>37</v>
      </c>
      <c r="B174" s="189"/>
      <c r="C174" s="189"/>
      <c r="D174" s="189"/>
      <c r="E174" s="189"/>
      <c r="F174" s="189"/>
      <c r="G174" s="189"/>
    </row>
    <row r="175" spans="1:7" ht="16.5" x14ac:dyDescent="0.25">
      <c r="A175" s="190"/>
      <c r="B175" s="191"/>
      <c r="C175" s="191"/>
      <c r="D175" s="191"/>
      <c r="E175" s="191"/>
      <c r="F175" s="191"/>
      <c r="G175" s="191"/>
    </row>
    <row r="176" spans="1:7" ht="25.5" customHeight="1" x14ac:dyDescent="0.25">
      <c r="A176" s="180" t="s">
        <v>133</v>
      </c>
      <c r="B176" s="192"/>
      <c r="C176" s="192"/>
      <c r="D176" s="192"/>
      <c r="E176" s="192"/>
      <c r="F176" s="192"/>
      <c r="G176" s="192"/>
    </row>
    <row r="177" spans="1:7" ht="24" customHeight="1" x14ac:dyDescent="0.25">
      <c r="A177" s="185" t="s">
        <v>38</v>
      </c>
      <c r="B177" s="193"/>
      <c r="C177" s="193"/>
      <c r="D177" s="193"/>
      <c r="E177" s="193"/>
      <c r="F177" s="193"/>
      <c r="G177" s="193"/>
    </row>
    <row r="178" spans="1:7" ht="35.25" customHeight="1" x14ac:dyDescent="0.25">
      <c r="A178" s="179" t="str">
        <f>+ĐCCN!$A$7</f>
        <v>- Căn cứ Hợp đồng kinh tế số 0412/HĐKT2025/TP-VIETPANEL ký ngày 04/12/2025 giữa Công ty TNHH xây dựng Việt Panel và Công ty Cổ phần Tập đoàn Thiết bị xây dựng TP về việc cho thuê thiết bị xây dựng.</v>
      </c>
      <c r="B178" s="179"/>
      <c r="C178" s="179"/>
      <c r="D178" s="179"/>
      <c r="E178" s="179"/>
      <c r="F178" s="179"/>
      <c r="G178" s="179"/>
    </row>
    <row r="179" spans="1:7" ht="21.75" customHeight="1" x14ac:dyDescent="0.25">
      <c r="A179" s="194" t="s">
        <v>307</v>
      </c>
      <c r="B179" s="194"/>
      <c r="C179" s="194"/>
      <c r="D179" s="194"/>
      <c r="E179" s="194"/>
      <c r="F179" s="194"/>
      <c r="G179" s="194"/>
    </row>
    <row r="180" spans="1:7" ht="16.5" x14ac:dyDescent="0.25">
      <c r="A180" s="140"/>
      <c r="B180" s="179" t="s">
        <v>177</v>
      </c>
      <c r="C180" s="179"/>
      <c r="D180" s="179"/>
      <c r="E180" s="14">
        <f>'Giá trị'!J861</f>
        <v>926699556</v>
      </c>
      <c r="F180" s="15" t="s">
        <v>40</v>
      </c>
      <c r="G180" s="15"/>
    </row>
    <row r="181" spans="1:7" ht="16.5" x14ac:dyDescent="0.25">
      <c r="A181" s="75" t="str">
        <f>$A$13</f>
        <v>Bằng chữ:</v>
      </c>
      <c r="B181" s="75" t="str">
        <f>'Giá trị'!B862</f>
        <v>Chín trăm hai mươi sáu triệu, sáu trăm chín mươi chín nghìn, năm trăm năm mươi sáu đồng./.</v>
      </c>
      <c r="C181" s="139"/>
      <c r="D181" s="139"/>
      <c r="E181" s="139"/>
      <c r="F181" s="139"/>
      <c r="G181" s="139"/>
    </row>
    <row r="182" spans="1:7" ht="35.25" customHeight="1" x14ac:dyDescent="0.25">
      <c r="A182" s="180" t="s">
        <v>46</v>
      </c>
      <c r="B182" s="180"/>
      <c r="C182" s="180"/>
      <c r="D182" s="180"/>
      <c r="E182" s="180"/>
      <c r="F182" s="180"/>
      <c r="G182" s="180"/>
    </row>
    <row r="183" spans="1:7" ht="23.25" customHeight="1" x14ac:dyDescent="0.25">
      <c r="A183" s="16"/>
      <c r="B183" s="180" t="s">
        <v>41</v>
      </c>
      <c r="C183" s="180"/>
      <c r="D183" s="181" t="s">
        <v>42</v>
      </c>
      <c r="E183" s="182"/>
      <c r="F183" s="182"/>
      <c r="G183" s="182"/>
    </row>
    <row r="184" spans="1:7" ht="23.25" customHeight="1" x14ac:dyDescent="0.25">
      <c r="A184" s="16"/>
      <c r="B184" s="179" t="s">
        <v>43</v>
      </c>
      <c r="C184" s="179"/>
      <c r="D184" s="179" t="s">
        <v>124</v>
      </c>
      <c r="E184" s="183"/>
      <c r="F184" s="183"/>
      <c r="G184" s="183"/>
    </row>
    <row r="185" spans="1:7" ht="35.25" customHeight="1" x14ac:dyDescent="0.25">
      <c r="A185" s="16"/>
      <c r="B185" s="179" t="s">
        <v>44</v>
      </c>
      <c r="C185" s="179"/>
      <c r="D185" s="180" t="s">
        <v>130</v>
      </c>
      <c r="E185" s="184"/>
      <c r="F185" s="184"/>
      <c r="G185" s="184"/>
    </row>
    <row r="186" spans="1:7" ht="16.5" x14ac:dyDescent="0.25">
      <c r="A186" s="185" t="s">
        <v>45</v>
      </c>
      <c r="B186" s="185"/>
      <c r="C186" s="185"/>
      <c r="D186" s="185"/>
      <c r="E186" s="185"/>
      <c r="F186" s="185"/>
      <c r="G186" s="185"/>
    </row>
    <row r="187" spans="1:7" ht="16.5" x14ac:dyDescent="0.25">
      <c r="A187" s="11"/>
      <c r="B187" s="11"/>
      <c r="C187" s="11"/>
      <c r="D187" s="11"/>
      <c r="E187" s="178" t="s">
        <v>35</v>
      </c>
      <c r="F187" s="178"/>
      <c r="G187" s="178"/>
    </row>
    <row r="188" spans="1:7" ht="16.5" x14ac:dyDescent="0.25">
      <c r="A188" s="11"/>
      <c r="B188" s="11"/>
      <c r="C188" s="11"/>
      <c r="D188" s="11"/>
      <c r="E188" s="178"/>
      <c r="F188" s="178"/>
      <c r="G188" s="178"/>
    </row>
    <row r="194" spans="1:7" ht="16.5" x14ac:dyDescent="0.25">
      <c r="A194" s="186" t="s">
        <v>35</v>
      </c>
      <c r="B194" s="186"/>
      <c r="C194" s="186"/>
      <c r="D194" s="187" t="s">
        <v>36</v>
      </c>
      <c r="E194" s="187"/>
      <c r="F194" s="187"/>
      <c r="G194" s="187"/>
    </row>
    <row r="195" spans="1:7" ht="16.5" x14ac:dyDescent="0.25">
      <c r="A195" s="186"/>
      <c r="B195" s="186"/>
      <c r="C195" s="186"/>
      <c r="D195" s="188" t="s">
        <v>2</v>
      </c>
      <c r="E195" s="188"/>
      <c r="F195" s="188"/>
      <c r="G195" s="188"/>
    </row>
    <row r="196" spans="1:7" ht="16.5" x14ac:dyDescent="0.25">
      <c r="A196" s="162"/>
      <c r="B196" s="162"/>
      <c r="C196" s="162"/>
      <c r="D196" s="162"/>
      <c r="E196" s="10"/>
      <c r="F196" s="10"/>
      <c r="G196" s="10"/>
    </row>
    <row r="197" spans="1:7" ht="16.5" x14ac:dyDescent="0.25">
      <c r="A197" s="11"/>
      <c r="B197" s="11"/>
      <c r="C197" s="11"/>
      <c r="D197" s="11"/>
      <c r="E197" s="11"/>
      <c r="F197" s="11"/>
      <c r="G197" s="12" t="s">
        <v>175</v>
      </c>
    </row>
    <row r="198" spans="1:7" ht="16.5" x14ac:dyDescent="0.25">
      <c r="A198" s="11"/>
      <c r="B198" s="11"/>
      <c r="C198" s="11"/>
      <c r="D198" s="11"/>
      <c r="E198" s="11"/>
      <c r="F198" s="11"/>
      <c r="G198" s="13"/>
    </row>
    <row r="199" spans="1:7" ht="25.5" x14ac:dyDescent="0.25">
      <c r="A199" s="189" t="s">
        <v>37</v>
      </c>
      <c r="B199" s="189"/>
      <c r="C199" s="189"/>
      <c r="D199" s="189"/>
      <c r="E199" s="189"/>
      <c r="F199" s="189"/>
      <c r="G199" s="189"/>
    </row>
    <row r="200" spans="1:7" ht="16.5" x14ac:dyDescent="0.25">
      <c r="A200" s="190"/>
      <c r="B200" s="191"/>
      <c r="C200" s="191"/>
      <c r="D200" s="191"/>
      <c r="E200" s="191"/>
      <c r="F200" s="191"/>
      <c r="G200" s="191"/>
    </row>
    <row r="201" spans="1:7" ht="16.5" x14ac:dyDescent="0.25">
      <c r="A201" s="180" t="s">
        <v>133</v>
      </c>
      <c r="B201" s="192"/>
      <c r="C201" s="192"/>
      <c r="D201" s="192"/>
      <c r="E201" s="192"/>
      <c r="F201" s="192"/>
      <c r="G201" s="192"/>
    </row>
    <row r="202" spans="1:7" ht="16.5" x14ac:dyDescent="0.25">
      <c r="A202" s="185" t="s">
        <v>38</v>
      </c>
      <c r="B202" s="193"/>
      <c r="C202" s="193"/>
      <c r="D202" s="193"/>
      <c r="E202" s="193"/>
      <c r="F202" s="193"/>
      <c r="G202" s="193"/>
    </row>
    <row r="203" spans="1:7" ht="16.5" x14ac:dyDescent="0.25">
      <c r="A203" s="179" t="str">
        <f>+ĐCCN!$A$7</f>
        <v>- Căn cứ Hợp đồng kinh tế số 0412/HĐKT2025/TP-VIETPANEL ký ngày 04/12/2025 giữa Công ty TNHH xây dựng Việt Panel và Công ty Cổ phần Tập đoàn Thiết bị xây dựng TP về việc cho thuê thiết bị xây dựng.</v>
      </c>
      <c r="B203" s="179"/>
      <c r="C203" s="179"/>
      <c r="D203" s="179"/>
      <c r="E203" s="179"/>
      <c r="F203" s="179"/>
      <c r="G203" s="179"/>
    </row>
    <row r="204" spans="1:7" ht="16.5" x14ac:dyDescent="0.25">
      <c r="A204" s="194" t="s">
        <v>315</v>
      </c>
      <c r="B204" s="194"/>
      <c r="C204" s="194"/>
      <c r="D204" s="194"/>
      <c r="E204" s="194"/>
      <c r="F204" s="194"/>
      <c r="G204" s="194"/>
    </row>
    <row r="205" spans="1:7" ht="16.5" x14ac:dyDescent="0.25">
      <c r="A205" s="164"/>
      <c r="B205" s="179" t="s">
        <v>177</v>
      </c>
      <c r="C205" s="179"/>
      <c r="D205" s="179"/>
      <c r="E205" s="14">
        <f>'Giá trị'!J949</f>
        <v>890505769</v>
      </c>
      <c r="F205" s="15" t="s">
        <v>40</v>
      </c>
      <c r="G205" s="15"/>
    </row>
    <row r="206" spans="1:7" ht="16.5" x14ac:dyDescent="0.25">
      <c r="A206" s="75" t="str">
        <f>$A$13</f>
        <v>Bằng chữ:</v>
      </c>
      <c r="B206" s="75" t="str">
        <f>'Giá trị'!B950</f>
        <v>Tám trăm chín mươi triệu, năm trăm linh lăm nghìn,bảy trăm sáu mươi chín đồng./.</v>
      </c>
      <c r="C206" s="163"/>
      <c r="D206" s="163"/>
      <c r="E206" s="163"/>
      <c r="F206" s="163"/>
      <c r="G206" s="163"/>
    </row>
    <row r="207" spans="1:7" ht="16.5" x14ac:dyDescent="0.25">
      <c r="A207" s="180" t="s">
        <v>46</v>
      </c>
      <c r="B207" s="180"/>
      <c r="C207" s="180"/>
      <c r="D207" s="180"/>
      <c r="E207" s="180"/>
      <c r="F207" s="180"/>
      <c r="G207" s="180"/>
    </row>
    <row r="208" spans="1:7" ht="16.5" x14ac:dyDescent="0.25">
      <c r="A208" s="16"/>
      <c r="B208" s="180" t="s">
        <v>41</v>
      </c>
      <c r="C208" s="180"/>
      <c r="D208" s="181" t="s">
        <v>42</v>
      </c>
      <c r="E208" s="182"/>
      <c r="F208" s="182"/>
      <c r="G208" s="182"/>
    </row>
    <row r="209" spans="1:7" ht="16.5" x14ac:dyDescent="0.25">
      <c r="A209" s="16"/>
      <c r="B209" s="179" t="s">
        <v>43</v>
      </c>
      <c r="C209" s="179"/>
      <c r="D209" s="179" t="s">
        <v>124</v>
      </c>
      <c r="E209" s="183"/>
      <c r="F209" s="183"/>
      <c r="G209" s="183"/>
    </row>
    <row r="210" spans="1:7" ht="16.5" x14ac:dyDescent="0.25">
      <c r="A210" s="16"/>
      <c r="B210" s="179" t="s">
        <v>44</v>
      </c>
      <c r="C210" s="179"/>
      <c r="D210" s="180" t="s">
        <v>130</v>
      </c>
      <c r="E210" s="184"/>
      <c r="F210" s="184"/>
      <c r="G210" s="184"/>
    </row>
    <row r="211" spans="1:7" ht="16.5" x14ac:dyDescent="0.25">
      <c r="A211" s="185" t="s">
        <v>45</v>
      </c>
      <c r="B211" s="185"/>
      <c r="C211" s="185"/>
      <c r="D211" s="185"/>
      <c r="E211" s="185"/>
      <c r="F211" s="185"/>
      <c r="G211" s="185"/>
    </row>
    <row r="212" spans="1:7" ht="16.5" x14ac:dyDescent="0.25">
      <c r="A212" s="11"/>
      <c r="B212" s="11"/>
      <c r="C212" s="11"/>
      <c r="D212" s="11"/>
      <c r="E212" s="178" t="s">
        <v>35</v>
      </c>
      <c r="F212" s="178"/>
      <c r="G212" s="178"/>
    </row>
    <row r="213" spans="1:7" ht="16.5" x14ac:dyDescent="0.25">
      <c r="A213" s="11"/>
      <c r="B213" s="11"/>
      <c r="C213" s="11"/>
      <c r="D213" s="11"/>
      <c r="E213" s="178"/>
      <c r="F213" s="178"/>
      <c r="G213" s="178"/>
    </row>
  </sheetData>
  <mergeCells count="171">
    <mergeCell ref="E163:G164"/>
    <mergeCell ref="B156:D156"/>
    <mergeCell ref="A158:G158"/>
    <mergeCell ref="B159:C159"/>
    <mergeCell ref="D159:G159"/>
    <mergeCell ref="B160:C160"/>
    <mergeCell ref="D160:G160"/>
    <mergeCell ref="B161:C161"/>
    <mergeCell ref="D161:G161"/>
    <mergeCell ref="A162:G162"/>
    <mergeCell ref="A145:C146"/>
    <mergeCell ref="D145:G145"/>
    <mergeCell ref="D146:G146"/>
    <mergeCell ref="A150:G150"/>
    <mergeCell ref="A151:G151"/>
    <mergeCell ref="A152:G152"/>
    <mergeCell ref="A153:G153"/>
    <mergeCell ref="A154:G154"/>
    <mergeCell ref="A155:G155"/>
    <mergeCell ref="B137:C137"/>
    <mergeCell ref="D137:G137"/>
    <mergeCell ref="A138:G138"/>
    <mergeCell ref="E139:G140"/>
    <mergeCell ref="A134:G134"/>
    <mergeCell ref="B135:C135"/>
    <mergeCell ref="D135:G135"/>
    <mergeCell ref="B136:C136"/>
    <mergeCell ref="D136:G136"/>
    <mergeCell ref="A128:G128"/>
    <mergeCell ref="A129:G129"/>
    <mergeCell ref="A130:G130"/>
    <mergeCell ref="A131:G131"/>
    <mergeCell ref="B132:D132"/>
    <mergeCell ref="A121:C122"/>
    <mergeCell ref="D121:G121"/>
    <mergeCell ref="D122:G122"/>
    <mergeCell ref="A126:G126"/>
    <mergeCell ref="A127:G127"/>
    <mergeCell ref="B40:C40"/>
    <mergeCell ref="D40:G40"/>
    <mergeCell ref="A41:G41"/>
    <mergeCell ref="E42:G43"/>
    <mergeCell ref="A37:G37"/>
    <mergeCell ref="B38:C38"/>
    <mergeCell ref="D38:G38"/>
    <mergeCell ref="B39:C39"/>
    <mergeCell ref="D39:G39"/>
    <mergeCell ref="A31:G31"/>
    <mergeCell ref="A32:G32"/>
    <mergeCell ref="A33:G33"/>
    <mergeCell ref="A34:G34"/>
    <mergeCell ref="B35:D35"/>
    <mergeCell ref="A24:C25"/>
    <mergeCell ref="D24:G24"/>
    <mergeCell ref="D25:G25"/>
    <mergeCell ref="A29:G29"/>
    <mergeCell ref="A30:G30"/>
    <mergeCell ref="A8:G8"/>
    <mergeCell ref="A9:G9"/>
    <mergeCell ref="A11:G11"/>
    <mergeCell ref="B12:D12"/>
    <mergeCell ref="A1:C2"/>
    <mergeCell ref="D1:G1"/>
    <mergeCell ref="D2:G2"/>
    <mergeCell ref="A6:G6"/>
    <mergeCell ref="A7:G7"/>
    <mergeCell ref="A10:G10"/>
    <mergeCell ref="B17:C17"/>
    <mergeCell ref="D17:G17"/>
    <mergeCell ref="A18:G18"/>
    <mergeCell ref="E19:G20"/>
    <mergeCell ref="A14:G14"/>
    <mergeCell ref="B15:C15"/>
    <mergeCell ref="D15:G15"/>
    <mergeCell ref="B16:C16"/>
    <mergeCell ref="D16:G16"/>
    <mergeCell ref="A47:C48"/>
    <mergeCell ref="D47:G47"/>
    <mergeCell ref="D48:G48"/>
    <mergeCell ref="A52:G52"/>
    <mergeCell ref="A53:G53"/>
    <mergeCell ref="A54:G54"/>
    <mergeCell ref="A55:G55"/>
    <mergeCell ref="A56:G56"/>
    <mergeCell ref="A57:G57"/>
    <mergeCell ref="B58:D58"/>
    <mergeCell ref="B63:C63"/>
    <mergeCell ref="D63:G63"/>
    <mergeCell ref="A64:G64"/>
    <mergeCell ref="E65:G66"/>
    <mergeCell ref="A60:G60"/>
    <mergeCell ref="B61:C61"/>
    <mergeCell ref="D61:G61"/>
    <mergeCell ref="B62:C62"/>
    <mergeCell ref="D62:G62"/>
    <mergeCell ref="A72:C73"/>
    <mergeCell ref="D72:G72"/>
    <mergeCell ref="D73:G73"/>
    <mergeCell ref="A77:G77"/>
    <mergeCell ref="A78:G78"/>
    <mergeCell ref="A79:G79"/>
    <mergeCell ref="A80:G80"/>
    <mergeCell ref="A81:G81"/>
    <mergeCell ref="A82:G82"/>
    <mergeCell ref="B83:D83"/>
    <mergeCell ref="B88:C88"/>
    <mergeCell ref="D88:G88"/>
    <mergeCell ref="A89:G89"/>
    <mergeCell ref="E90:G91"/>
    <mergeCell ref="A85:G85"/>
    <mergeCell ref="B86:C86"/>
    <mergeCell ref="D86:G86"/>
    <mergeCell ref="B87:C87"/>
    <mergeCell ref="D87:G87"/>
    <mergeCell ref="A97:C98"/>
    <mergeCell ref="D97:G97"/>
    <mergeCell ref="D98:G98"/>
    <mergeCell ref="A102:G102"/>
    <mergeCell ref="A103:G103"/>
    <mergeCell ref="A104:G104"/>
    <mergeCell ref="A105:G105"/>
    <mergeCell ref="A106:G106"/>
    <mergeCell ref="A107:G107"/>
    <mergeCell ref="B108:D108"/>
    <mergeCell ref="B113:C113"/>
    <mergeCell ref="D113:G113"/>
    <mergeCell ref="A114:G114"/>
    <mergeCell ref="E115:G116"/>
    <mergeCell ref="A110:G110"/>
    <mergeCell ref="B111:C111"/>
    <mergeCell ref="D111:G111"/>
    <mergeCell ref="B112:C112"/>
    <mergeCell ref="D112:G112"/>
    <mergeCell ref="A169:C170"/>
    <mergeCell ref="D169:G169"/>
    <mergeCell ref="D170:G170"/>
    <mergeCell ref="A174:G174"/>
    <mergeCell ref="A175:G175"/>
    <mergeCell ref="A176:G176"/>
    <mergeCell ref="A177:G177"/>
    <mergeCell ref="A178:G178"/>
    <mergeCell ref="A179:G179"/>
    <mergeCell ref="E187:G188"/>
    <mergeCell ref="B180:D180"/>
    <mergeCell ref="A182:G182"/>
    <mergeCell ref="B183:C183"/>
    <mergeCell ref="D183:G183"/>
    <mergeCell ref="B184:C184"/>
    <mergeCell ref="D184:G184"/>
    <mergeCell ref="B185:C185"/>
    <mergeCell ref="D185:G185"/>
    <mergeCell ref="A186:G186"/>
    <mergeCell ref="A194:C195"/>
    <mergeCell ref="D194:G194"/>
    <mergeCell ref="D195:G195"/>
    <mergeCell ref="A199:G199"/>
    <mergeCell ref="A200:G200"/>
    <mergeCell ref="A201:G201"/>
    <mergeCell ref="A202:G202"/>
    <mergeCell ref="A203:G203"/>
    <mergeCell ref="A204:G204"/>
    <mergeCell ref="E212:G213"/>
    <mergeCell ref="B205:D205"/>
    <mergeCell ref="A207:G207"/>
    <mergeCell ref="B208:C208"/>
    <mergeCell ref="D208:G208"/>
    <mergeCell ref="B209:C209"/>
    <mergeCell ref="D209:G209"/>
    <mergeCell ref="B210:C210"/>
    <mergeCell ref="D210:G210"/>
    <mergeCell ref="A211:G211"/>
  </mergeCells>
  <pageMargins left="0.51181102362204722" right="0.39370078740157483" top="0.39370078740157483" bottom="0.39370078740157483" header="0.31496062992125984" footer="0.31496062992125984"/>
  <pageSetup paperSize="9" scale="8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6"/>
  <sheetViews>
    <sheetView view="pageBreakPreview" topLeftCell="A284" zoomScale="85" zoomScaleNormal="100" zoomScaleSheetLayoutView="85" workbookViewId="0">
      <selection activeCell="B305" sqref="B305"/>
    </sheetView>
  </sheetViews>
  <sheetFormatPr defaultColWidth="9.140625" defaultRowHeight="15.75" x14ac:dyDescent="0.25"/>
  <cols>
    <col min="1" max="1" width="12.85546875" style="17" customWidth="1"/>
    <col min="2" max="2" width="12.28515625" style="17" customWidth="1"/>
    <col min="3" max="3" width="13.5703125" style="17" customWidth="1"/>
    <col min="4" max="4" width="11.7109375" style="17" customWidth="1"/>
    <col min="5" max="5" width="9.140625" style="17"/>
    <col min="6" max="6" width="11.42578125" style="17" customWidth="1"/>
    <col min="7" max="7" width="11.5703125" style="17" customWidth="1"/>
    <col min="8" max="8" width="23.5703125" style="17" customWidth="1"/>
    <col min="9" max="9" width="29.85546875" style="17" customWidth="1"/>
    <col min="10" max="10" width="0.42578125" style="17" customWidth="1"/>
    <col min="11" max="11" width="14" style="17" bestFit="1" customWidth="1"/>
    <col min="12" max="12" width="16.7109375" style="17" bestFit="1" customWidth="1"/>
    <col min="13" max="13" width="9.140625" style="17"/>
    <col min="14" max="14" width="15" style="17" bestFit="1" customWidth="1"/>
    <col min="15" max="16384" width="9.140625" style="17"/>
  </cols>
  <sheetData>
    <row r="1" spans="1:11" ht="20.25" customHeight="1" x14ac:dyDescent="0.25">
      <c r="A1" s="197" t="s">
        <v>1</v>
      </c>
      <c r="B1" s="197"/>
      <c r="C1" s="197"/>
      <c r="D1" s="197"/>
      <c r="E1" s="197"/>
      <c r="F1" s="197"/>
      <c r="G1" s="197"/>
      <c r="H1" s="197"/>
      <c r="I1" s="197"/>
      <c r="J1" s="197"/>
    </row>
    <row r="2" spans="1:11" ht="20.25" customHeight="1" x14ac:dyDescent="0.25">
      <c r="A2" s="197" t="s">
        <v>2</v>
      </c>
      <c r="B2" s="197"/>
      <c r="C2" s="197"/>
      <c r="D2" s="197"/>
      <c r="E2" s="197"/>
      <c r="F2" s="197"/>
      <c r="G2" s="197"/>
      <c r="H2" s="197"/>
      <c r="I2" s="197"/>
      <c r="J2" s="197"/>
    </row>
    <row r="4" spans="1:11" ht="20.25" x14ac:dyDescent="0.25">
      <c r="A4" s="204" t="s">
        <v>28</v>
      </c>
      <c r="B4" s="204"/>
      <c r="C4" s="204"/>
      <c r="D4" s="204"/>
      <c r="E4" s="204"/>
      <c r="F4" s="204"/>
      <c r="G4" s="204"/>
      <c r="H4" s="204"/>
      <c r="I4" s="204"/>
      <c r="J4" s="204"/>
    </row>
    <row r="5" spans="1:11" x14ac:dyDescent="0.25">
      <c r="A5" s="205" t="s">
        <v>120</v>
      </c>
      <c r="B5" s="205"/>
      <c r="C5" s="205"/>
      <c r="D5" s="205"/>
      <c r="E5" s="205"/>
      <c r="F5" s="205"/>
      <c r="G5" s="205"/>
      <c r="H5" s="205"/>
      <c r="I5" s="205"/>
      <c r="J5" s="205"/>
      <c r="K5" s="36"/>
    </row>
    <row r="6" spans="1:11" x14ac:dyDescent="0.25">
      <c r="K6"/>
    </row>
    <row r="7" spans="1:11" ht="47.25" customHeight="1" x14ac:dyDescent="0.25">
      <c r="A7" s="206" t="s">
        <v>135</v>
      </c>
      <c r="B7" s="206"/>
      <c r="C7" s="206"/>
      <c r="D7" s="206"/>
      <c r="E7" s="206"/>
      <c r="F7" s="206"/>
      <c r="G7" s="206"/>
      <c r="H7" s="206"/>
    </row>
    <row r="8" spans="1:11" s="31" customFormat="1" ht="33.75" customHeight="1" x14ac:dyDescent="0.25">
      <c r="A8" s="207" t="s">
        <v>134</v>
      </c>
      <c r="B8" s="207"/>
      <c r="C8" s="207"/>
      <c r="D8" s="207"/>
      <c r="E8" s="207"/>
      <c r="F8" s="207"/>
      <c r="G8" s="207"/>
      <c r="H8" s="207"/>
    </row>
    <row r="9" spans="1:11" ht="32.25" customHeight="1" x14ac:dyDescent="0.25">
      <c r="A9" s="38" t="s">
        <v>64</v>
      </c>
      <c r="B9" s="39"/>
      <c r="C9" s="201" t="s">
        <v>137</v>
      </c>
      <c r="D9" s="201"/>
      <c r="E9" s="201"/>
      <c r="F9" s="201"/>
      <c r="G9" s="201"/>
      <c r="H9" s="201"/>
      <c r="I9" s="39"/>
      <c r="J9" s="39"/>
    </row>
    <row r="10" spans="1:11" ht="21.75" customHeight="1" x14ac:dyDescent="0.25">
      <c r="A10" s="31" t="s">
        <v>5</v>
      </c>
      <c r="C10" s="198" t="s">
        <v>138</v>
      </c>
      <c r="D10" s="208"/>
    </row>
    <row r="11" spans="1:11" ht="21.75" customHeight="1" x14ac:dyDescent="0.25">
      <c r="A11" s="31" t="s">
        <v>4</v>
      </c>
      <c r="C11" s="209">
        <v>616139999</v>
      </c>
      <c r="D11" s="209"/>
      <c r="E11" s="17" t="s">
        <v>140</v>
      </c>
    </row>
    <row r="12" spans="1:11" ht="21.75" customHeight="1" x14ac:dyDescent="0.25">
      <c r="A12" s="5" t="s">
        <v>6</v>
      </c>
      <c r="C12" s="198" t="s">
        <v>139</v>
      </c>
      <c r="D12" s="198"/>
    </row>
    <row r="13" spans="1:11" ht="21.75" customHeight="1" x14ac:dyDescent="0.25">
      <c r="A13" s="5" t="s">
        <v>7</v>
      </c>
      <c r="C13" s="31" t="s">
        <v>141</v>
      </c>
      <c r="E13" s="17" t="s">
        <v>121</v>
      </c>
    </row>
    <row r="14" spans="1:11" x14ac:dyDescent="0.25">
      <c r="C14" s="199"/>
      <c r="D14" s="200"/>
    </row>
    <row r="15" spans="1:11" s="31" customFormat="1" ht="23.25" customHeight="1" x14ac:dyDescent="0.25">
      <c r="A15" s="7" t="s">
        <v>8</v>
      </c>
      <c r="B15" s="62"/>
      <c r="E15" s="62"/>
      <c r="F15" s="62"/>
      <c r="G15" s="62"/>
    </row>
    <row r="16" spans="1:11" ht="23.25" customHeight="1" x14ac:dyDescent="0.25">
      <c r="A16" s="17" t="s">
        <v>65</v>
      </c>
      <c r="C16" s="17" t="s">
        <v>157</v>
      </c>
      <c r="D16" s="61"/>
    </row>
    <row r="17" spans="1:12" ht="23.25" customHeight="1" x14ac:dyDescent="0.25">
      <c r="A17" s="31" t="s">
        <v>5</v>
      </c>
      <c r="C17" s="32" t="s">
        <v>9</v>
      </c>
      <c r="D17" s="61"/>
    </row>
    <row r="18" spans="1:12" ht="38.25" customHeight="1" x14ac:dyDescent="0.25">
      <c r="A18" s="31" t="s">
        <v>10</v>
      </c>
      <c r="C18" s="32" t="s">
        <v>11</v>
      </c>
      <c r="E18" s="201" t="s">
        <v>131</v>
      </c>
      <c r="F18" s="201"/>
      <c r="G18" s="201"/>
      <c r="H18" s="201"/>
    </row>
    <row r="19" spans="1:12" ht="23.25" customHeight="1" x14ac:dyDescent="0.25">
      <c r="A19" s="31" t="s">
        <v>6</v>
      </c>
      <c r="C19" s="32" t="s">
        <v>19</v>
      </c>
    </row>
    <row r="20" spans="1:12" ht="23.25" customHeight="1" x14ac:dyDescent="0.25">
      <c r="A20" s="31" t="s">
        <v>7</v>
      </c>
      <c r="C20" s="31" t="s">
        <v>119</v>
      </c>
      <c r="E20" s="17" t="s">
        <v>117</v>
      </c>
    </row>
    <row r="22" spans="1:12" ht="32.25" customHeight="1" x14ac:dyDescent="0.25">
      <c r="A22" s="202" t="s">
        <v>142</v>
      </c>
      <c r="B22" s="202"/>
      <c r="C22" s="202"/>
      <c r="D22" s="202"/>
      <c r="E22" s="202"/>
      <c r="F22" s="202"/>
      <c r="G22" s="202"/>
      <c r="H22" s="202"/>
      <c r="I22" s="39"/>
      <c r="J22" s="39"/>
    </row>
    <row r="23" spans="1:12" s="64" customFormat="1" ht="22.5" customHeight="1" x14ac:dyDescent="0.25">
      <c r="A23" s="63" t="s">
        <v>12</v>
      </c>
      <c r="B23" s="203" t="s">
        <v>30</v>
      </c>
      <c r="C23" s="203"/>
      <c r="D23" s="203"/>
      <c r="E23" s="203"/>
      <c r="F23" s="203"/>
      <c r="G23" s="203" t="s">
        <v>31</v>
      </c>
      <c r="H23" s="203"/>
    </row>
    <row r="24" spans="1:12" ht="22.5" customHeight="1" x14ac:dyDescent="0.25">
      <c r="A24" s="29">
        <v>1</v>
      </c>
      <c r="B24" s="195" t="s">
        <v>48</v>
      </c>
      <c r="C24" s="195"/>
      <c r="D24" s="195"/>
      <c r="E24" s="195"/>
      <c r="F24" s="195"/>
      <c r="G24" s="196">
        <v>1255054014</v>
      </c>
      <c r="H24" s="196"/>
    </row>
    <row r="25" spans="1:12" ht="22.5" customHeight="1" x14ac:dyDescent="0.25">
      <c r="A25" s="29">
        <v>2</v>
      </c>
      <c r="B25" s="195" t="s">
        <v>32</v>
      </c>
      <c r="C25" s="195"/>
      <c r="D25" s="195"/>
      <c r="E25" s="195"/>
      <c r="F25" s="195"/>
      <c r="G25" s="196"/>
      <c r="H25" s="196"/>
      <c r="L25" s="28"/>
    </row>
    <row r="26" spans="1:12" ht="22.5" customHeight="1" x14ac:dyDescent="0.25">
      <c r="A26" s="29">
        <v>3</v>
      </c>
      <c r="B26" s="195" t="s">
        <v>143</v>
      </c>
      <c r="C26" s="195"/>
      <c r="D26" s="195"/>
      <c r="E26" s="195"/>
      <c r="F26" s="195"/>
      <c r="G26" s="196">
        <f>'Giá trị'!J105</f>
        <v>30768025</v>
      </c>
      <c r="H26" s="196"/>
    </row>
    <row r="27" spans="1:12" ht="22.5" customHeight="1" x14ac:dyDescent="0.25">
      <c r="A27" s="29">
        <v>4</v>
      </c>
      <c r="B27" s="195" t="s">
        <v>33</v>
      </c>
      <c r="C27" s="195"/>
      <c r="D27" s="195"/>
      <c r="E27" s="195"/>
      <c r="F27" s="195"/>
      <c r="G27" s="196">
        <v>0</v>
      </c>
      <c r="H27" s="196"/>
      <c r="K27" s="28"/>
    </row>
    <row r="28" spans="1:12" ht="22.5" customHeight="1" x14ac:dyDescent="0.25">
      <c r="A28" s="29">
        <v>5</v>
      </c>
      <c r="B28" s="195" t="s">
        <v>34</v>
      </c>
      <c r="C28" s="195"/>
      <c r="D28" s="195"/>
      <c r="E28" s="195"/>
      <c r="F28" s="195"/>
      <c r="G28" s="196">
        <f>G25+G26-G27</f>
        <v>30768025</v>
      </c>
      <c r="H28" s="196"/>
    </row>
    <row r="29" spans="1:12" ht="28.5" customHeight="1" x14ac:dyDescent="0.25">
      <c r="A29" s="73" t="s">
        <v>123</v>
      </c>
      <c r="B29" s="74" t="str">
        <f>'Giá trị'!B106</f>
        <v>Ba mươi triệu, bảy trăm sáu mươi tám nghìn, không trăm hai mươi lăm đồng./.</v>
      </c>
      <c r="C29" s="73"/>
      <c r="D29" s="73"/>
      <c r="E29" s="73"/>
      <c r="F29" s="73"/>
      <c r="G29" s="73"/>
      <c r="H29" s="73"/>
    </row>
    <row r="31" spans="1:12" s="31" customFormat="1" ht="21.75" customHeight="1" x14ac:dyDescent="0.25">
      <c r="A31" s="197" t="s">
        <v>21</v>
      </c>
      <c r="B31" s="197"/>
      <c r="C31" s="197"/>
      <c r="D31" s="197"/>
      <c r="E31" s="197" t="s">
        <v>22</v>
      </c>
      <c r="F31" s="197"/>
      <c r="G31" s="197"/>
      <c r="H31" s="197"/>
      <c r="I31" s="197"/>
      <c r="J31" s="197"/>
    </row>
    <row r="34" spans="1:10" x14ac:dyDescent="0.25">
      <c r="A34" s="197" t="s">
        <v>1</v>
      </c>
      <c r="B34" s="197"/>
      <c r="C34" s="197"/>
      <c r="D34" s="197"/>
      <c r="E34" s="197"/>
      <c r="F34" s="197"/>
      <c r="G34" s="197"/>
      <c r="H34" s="197"/>
      <c r="I34" s="197"/>
      <c r="J34" s="197"/>
    </row>
    <row r="35" spans="1:10" x14ac:dyDescent="0.25">
      <c r="A35" s="197" t="s">
        <v>2</v>
      </c>
      <c r="B35" s="197"/>
      <c r="C35" s="197"/>
      <c r="D35" s="197"/>
      <c r="E35" s="197"/>
      <c r="F35" s="197"/>
      <c r="G35" s="197"/>
      <c r="H35" s="197"/>
      <c r="I35" s="197"/>
      <c r="J35" s="197"/>
    </row>
    <row r="37" spans="1:10" ht="20.25" x14ac:dyDescent="0.25">
      <c r="A37" s="204" t="s">
        <v>28</v>
      </c>
      <c r="B37" s="204"/>
      <c r="C37" s="204"/>
      <c r="D37" s="204"/>
      <c r="E37" s="204"/>
      <c r="F37" s="204"/>
      <c r="G37" s="204"/>
      <c r="H37" s="204"/>
      <c r="I37" s="204"/>
      <c r="J37" s="204"/>
    </row>
    <row r="38" spans="1:10" x14ac:dyDescent="0.25">
      <c r="A38" s="205" t="s">
        <v>160</v>
      </c>
      <c r="B38" s="205"/>
      <c r="C38" s="205"/>
      <c r="D38" s="205"/>
      <c r="E38" s="205"/>
      <c r="F38" s="205"/>
      <c r="G38" s="205"/>
      <c r="H38" s="205"/>
      <c r="I38" s="205"/>
      <c r="J38" s="205"/>
    </row>
    <row r="40" spans="1:10" ht="41.25" customHeight="1" x14ac:dyDescent="0.25">
      <c r="A40" s="206" t="s">
        <v>135</v>
      </c>
      <c r="B40" s="206"/>
      <c r="C40" s="206"/>
      <c r="D40" s="206"/>
      <c r="E40" s="206"/>
      <c r="F40" s="206"/>
      <c r="G40" s="206"/>
      <c r="H40" s="206"/>
    </row>
    <row r="41" spans="1:10" x14ac:dyDescent="0.25">
      <c r="A41" s="207" t="s">
        <v>134</v>
      </c>
      <c r="B41" s="207"/>
      <c r="C41" s="207"/>
      <c r="D41" s="207"/>
      <c r="E41" s="207"/>
      <c r="F41" s="207"/>
      <c r="G41" s="207"/>
      <c r="H41" s="207"/>
      <c r="I41" s="31"/>
      <c r="J41" s="31"/>
    </row>
    <row r="42" spans="1:10" x14ac:dyDescent="0.25">
      <c r="A42" s="38" t="s">
        <v>64</v>
      </c>
      <c r="B42" s="39"/>
      <c r="C42" s="201" t="s">
        <v>137</v>
      </c>
      <c r="D42" s="201"/>
      <c r="E42" s="201"/>
      <c r="F42" s="201"/>
      <c r="G42" s="201"/>
      <c r="H42" s="201"/>
      <c r="I42" s="39"/>
      <c r="J42" s="39"/>
    </row>
    <row r="43" spans="1:10" ht="16.5" x14ac:dyDescent="0.25">
      <c r="A43" s="31" t="s">
        <v>5</v>
      </c>
      <c r="C43" s="198" t="s">
        <v>138</v>
      </c>
      <c r="D43" s="208"/>
    </row>
    <row r="44" spans="1:10" ht="16.5" x14ac:dyDescent="0.25">
      <c r="A44" s="31" t="s">
        <v>4</v>
      </c>
      <c r="C44" s="209">
        <v>616139999</v>
      </c>
      <c r="D44" s="209"/>
      <c r="E44" s="17" t="s">
        <v>140</v>
      </c>
    </row>
    <row r="45" spans="1:10" ht="16.5" x14ac:dyDescent="0.25">
      <c r="A45" s="5" t="s">
        <v>6</v>
      </c>
      <c r="C45" s="198" t="s">
        <v>139</v>
      </c>
      <c r="D45" s="198"/>
    </row>
    <row r="46" spans="1:10" ht="16.5" x14ac:dyDescent="0.25">
      <c r="A46" s="5" t="s">
        <v>7</v>
      </c>
      <c r="C46" s="31" t="s">
        <v>141</v>
      </c>
      <c r="E46" s="17" t="s">
        <v>121</v>
      </c>
    </row>
    <row r="47" spans="1:10" x14ac:dyDescent="0.25">
      <c r="C47" s="199"/>
      <c r="D47" s="200"/>
    </row>
    <row r="48" spans="1:10" ht="16.5" x14ac:dyDescent="0.25">
      <c r="A48" s="7" t="s">
        <v>8</v>
      </c>
      <c r="B48" s="62"/>
      <c r="C48" s="31"/>
      <c r="D48" s="31"/>
      <c r="E48" s="62"/>
      <c r="F48" s="62"/>
      <c r="G48" s="62"/>
      <c r="H48" s="31"/>
      <c r="I48" s="31"/>
      <c r="J48" s="31"/>
    </row>
    <row r="49" spans="1:10" x14ac:dyDescent="0.25">
      <c r="A49" s="17" t="s">
        <v>65</v>
      </c>
      <c r="C49" s="17" t="s">
        <v>157</v>
      </c>
      <c r="D49" s="61"/>
    </row>
    <row r="50" spans="1:10" x14ac:dyDescent="0.25">
      <c r="A50" s="31" t="s">
        <v>5</v>
      </c>
      <c r="C50" s="32" t="s">
        <v>9</v>
      </c>
      <c r="D50" s="61"/>
    </row>
    <row r="51" spans="1:10" x14ac:dyDescent="0.25">
      <c r="A51" s="31" t="s">
        <v>10</v>
      </c>
      <c r="C51" s="32" t="s">
        <v>11</v>
      </c>
      <c r="E51" s="201" t="s">
        <v>131</v>
      </c>
      <c r="F51" s="201"/>
      <c r="G51" s="201"/>
      <c r="H51" s="201"/>
    </row>
    <row r="52" spans="1:10" x14ac:dyDescent="0.25">
      <c r="A52" s="31" t="s">
        <v>6</v>
      </c>
      <c r="C52" s="32" t="s">
        <v>19</v>
      </c>
    </row>
    <row r="53" spans="1:10" x14ac:dyDescent="0.25">
      <c r="A53" s="31" t="s">
        <v>7</v>
      </c>
      <c r="C53" s="31" t="s">
        <v>119</v>
      </c>
      <c r="E53" s="17" t="s">
        <v>117</v>
      </c>
    </row>
    <row r="55" spans="1:10" x14ac:dyDescent="0.25">
      <c r="A55" s="202" t="s">
        <v>142</v>
      </c>
      <c r="B55" s="202"/>
      <c r="C55" s="202"/>
      <c r="D55" s="202"/>
      <c r="E55" s="202"/>
      <c r="F55" s="202"/>
      <c r="G55" s="202"/>
      <c r="H55" s="202"/>
      <c r="I55" s="39"/>
      <c r="J55" s="39"/>
    </row>
    <row r="56" spans="1:10" x14ac:dyDescent="0.25">
      <c r="A56" s="63" t="s">
        <v>12</v>
      </c>
      <c r="B56" s="203" t="s">
        <v>30</v>
      </c>
      <c r="C56" s="203"/>
      <c r="D56" s="203"/>
      <c r="E56" s="203"/>
      <c r="F56" s="203"/>
      <c r="G56" s="203" t="s">
        <v>31</v>
      </c>
      <c r="H56" s="203"/>
      <c r="I56" s="64"/>
      <c r="J56" s="64"/>
    </row>
    <row r="57" spans="1:10" x14ac:dyDescent="0.25">
      <c r="A57" s="29">
        <v>1</v>
      </c>
      <c r="B57" s="195" t="s">
        <v>48</v>
      </c>
      <c r="C57" s="195"/>
      <c r="D57" s="195"/>
      <c r="E57" s="195"/>
      <c r="F57" s="195"/>
      <c r="G57" s="196">
        <v>1255054014</v>
      </c>
      <c r="H57" s="196"/>
    </row>
    <row r="58" spans="1:10" x14ac:dyDescent="0.25">
      <c r="A58" s="29">
        <v>2</v>
      </c>
      <c r="B58" s="195" t="s">
        <v>32</v>
      </c>
      <c r="C58" s="195"/>
      <c r="D58" s="195"/>
      <c r="E58" s="195"/>
      <c r="F58" s="195"/>
      <c r="G58" s="196">
        <f>+G28</f>
        <v>30768025</v>
      </c>
      <c r="H58" s="196"/>
    </row>
    <row r="59" spans="1:10" x14ac:dyDescent="0.25">
      <c r="A59" s="29">
        <v>3</v>
      </c>
      <c r="B59" s="195" t="s">
        <v>174</v>
      </c>
      <c r="C59" s="195"/>
      <c r="D59" s="195"/>
      <c r="E59" s="195"/>
      <c r="F59" s="195"/>
      <c r="G59" s="196">
        <f>+'Giá trị'!J296</f>
        <v>884490707</v>
      </c>
      <c r="H59" s="196"/>
    </row>
    <row r="60" spans="1:10" x14ac:dyDescent="0.25">
      <c r="A60" s="29">
        <v>4</v>
      </c>
      <c r="B60" s="195" t="s">
        <v>33</v>
      </c>
      <c r="C60" s="195"/>
      <c r="D60" s="195"/>
      <c r="E60" s="195"/>
      <c r="F60" s="195"/>
      <c r="G60" s="196">
        <v>0</v>
      </c>
      <c r="H60" s="196"/>
    </row>
    <row r="61" spans="1:10" x14ac:dyDescent="0.25">
      <c r="A61" s="29">
        <v>5</v>
      </c>
      <c r="B61" s="195" t="s">
        <v>34</v>
      </c>
      <c r="C61" s="195"/>
      <c r="D61" s="195"/>
      <c r="E61" s="195"/>
      <c r="F61" s="195"/>
      <c r="G61" s="196">
        <f>G58+G59-G60</f>
        <v>915258732</v>
      </c>
      <c r="H61" s="196"/>
    </row>
    <row r="62" spans="1:10" ht="16.5" x14ac:dyDescent="0.25">
      <c r="A62" s="73" t="s">
        <v>123</v>
      </c>
      <c r="B62" s="74" t="s">
        <v>198</v>
      </c>
      <c r="C62" s="73"/>
      <c r="D62" s="73"/>
      <c r="E62" s="73"/>
      <c r="F62" s="73"/>
      <c r="G62" s="73"/>
      <c r="H62" s="73"/>
    </row>
    <row r="64" spans="1:10" x14ac:dyDescent="0.25">
      <c r="A64" s="197" t="s">
        <v>21</v>
      </c>
      <c r="B64" s="197"/>
      <c r="C64" s="197"/>
      <c r="D64" s="197"/>
      <c r="E64" s="197" t="s">
        <v>22</v>
      </c>
      <c r="F64" s="197"/>
      <c r="G64" s="197"/>
      <c r="H64" s="197"/>
      <c r="I64" s="197"/>
      <c r="J64" s="197"/>
    </row>
    <row r="68" spans="1:10" x14ac:dyDescent="0.25">
      <c r="A68" s="197" t="s">
        <v>1</v>
      </c>
      <c r="B68" s="197"/>
      <c r="C68" s="197"/>
      <c r="D68" s="197"/>
      <c r="E68" s="197"/>
      <c r="F68" s="197"/>
      <c r="G68" s="197"/>
      <c r="H68" s="197"/>
      <c r="I68" s="197"/>
      <c r="J68" s="197"/>
    </row>
    <row r="69" spans="1:10" x14ac:dyDescent="0.25">
      <c r="A69" s="197" t="s">
        <v>2</v>
      </c>
      <c r="B69" s="197"/>
      <c r="C69" s="197"/>
      <c r="D69" s="197"/>
      <c r="E69" s="197"/>
      <c r="F69" s="197"/>
      <c r="G69" s="197"/>
      <c r="H69" s="197"/>
      <c r="I69" s="197"/>
      <c r="J69" s="197"/>
    </row>
    <row r="71" spans="1:10" ht="20.25" x14ac:dyDescent="0.25">
      <c r="A71" s="204" t="s">
        <v>28</v>
      </c>
      <c r="B71" s="204"/>
      <c r="C71" s="204"/>
      <c r="D71" s="204"/>
      <c r="E71" s="204"/>
      <c r="F71" s="204"/>
      <c r="G71" s="204"/>
      <c r="H71" s="204"/>
      <c r="I71" s="204"/>
      <c r="J71" s="204"/>
    </row>
    <row r="72" spans="1:10" x14ac:dyDescent="0.25">
      <c r="A72" s="205" t="s">
        <v>245</v>
      </c>
      <c r="B72" s="205"/>
      <c r="C72" s="205"/>
      <c r="D72" s="205"/>
      <c r="E72" s="205"/>
      <c r="F72" s="205"/>
      <c r="G72" s="205"/>
      <c r="H72" s="205"/>
      <c r="I72" s="205"/>
      <c r="J72" s="205"/>
    </row>
    <row r="74" spans="1:10" ht="41.25" customHeight="1" x14ac:dyDescent="0.25">
      <c r="A74" s="206" t="s">
        <v>135</v>
      </c>
      <c r="B74" s="206"/>
      <c r="C74" s="206"/>
      <c r="D74" s="206"/>
      <c r="E74" s="206"/>
      <c r="F74" s="206"/>
      <c r="G74" s="206"/>
      <c r="H74" s="206"/>
    </row>
    <row r="75" spans="1:10" x14ac:dyDescent="0.25">
      <c r="A75" s="207" t="s">
        <v>134</v>
      </c>
      <c r="B75" s="207"/>
      <c r="C75" s="207"/>
      <c r="D75" s="207"/>
      <c r="E75" s="207"/>
      <c r="F75" s="207"/>
      <c r="G75" s="207"/>
      <c r="H75" s="207"/>
      <c r="I75" s="31"/>
      <c r="J75" s="31"/>
    </row>
    <row r="76" spans="1:10" x14ac:dyDescent="0.25">
      <c r="A76" s="38" t="s">
        <v>64</v>
      </c>
      <c r="B76" s="39"/>
      <c r="C76" s="201" t="s">
        <v>137</v>
      </c>
      <c r="D76" s="201"/>
      <c r="E76" s="201"/>
      <c r="F76" s="201"/>
      <c r="G76" s="201"/>
      <c r="H76" s="201"/>
      <c r="I76" s="39"/>
      <c r="J76" s="39"/>
    </row>
    <row r="77" spans="1:10" ht="16.5" x14ac:dyDescent="0.25">
      <c r="A77" s="31" t="s">
        <v>5</v>
      </c>
      <c r="C77" s="198" t="s">
        <v>138</v>
      </c>
      <c r="D77" s="208"/>
    </row>
    <row r="78" spans="1:10" ht="16.5" x14ac:dyDescent="0.25">
      <c r="A78" s="31" t="s">
        <v>4</v>
      </c>
      <c r="C78" s="209">
        <v>616139999</v>
      </c>
      <c r="D78" s="209"/>
      <c r="E78" s="17" t="s">
        <v>140</v>
      </c>
    </row>
    <row r="79" spans="1:10" ht="16.5" x14ac:dyDescent="0.25">
      <c r="A79" s="5" t="s">
        <v>6</v>
      </c>
      <c r="C79" s="198" t="s">
        <v>139</v>
      </c>
      <c r="D79" s="198"/>
    </row>
    <row r="80" spans="1:10" ht="16.5" x14ac:dyDescent="0.25">
      <c r="A80" s="5" t="s">
        <v>7</v>
      </c>
      <c r="C80" s="31" t="s">
        <v>141</v>
      </c>
      <c r="E80" s="17" t="s">
        <v>121</v>
      </c>
    </row>
    <row r="81" spans="1:10" x14ac:dyDescent="0.25">
      <c r="C81" s="199"/>
      <c r="D81" s="200"/>
    </row>
    <row r="82" spans="1:10" ht="16.5" x14ac:dyDescent="0.25">
      <c r="A82" s="7" t="s">
        <v>8</v>
      </c>
      <c r="B82" s="62"/>
      <c r="C82" s="31"/>
      <c r="D82" s="31"/>
      <c r="E82" s="62"/>
      <c r="F82" s="62"/>
      <c r="G82" s="62"/>
      <c r="H82" s="31"/>
      <c r="I82" s="31"/>
      <c r="J82" s="31"/>
    </row>
    <row r="83" spans="1:10" x14ac:dyDescent="0.25">
      <c r="A83" s="17" t="s">
        <v>65</v>
      </c>
      <c r="C83" s="17" t="s">
        <v>157</v>
      </c>
      <c r="D83" s="61"/>
    </row>
    <row r="84" spans="1:10" x14ac:dyDescent="0.25">
      <c r="A84" s="31" t="s">
        <v>5</v>
      </c>
      <c r="C84" s="32" t="s">
        <v>9</v>
      </c>
      <c r="D84" s="61"/>
    </row>
    <row r="85" spans="1:10" x14ac:dyDescent="0.25">
      <c r="A85" s="31" t="s">
        <v>10</v>
      </c>
      <c r="C85" s="32" t="s">
        <v>11</v>
      </c>
      <c r="E85" s="201" t="s">
        <v>131</v>
      </c>
      <c r="F85" s="201"/>
      <c r="G85" s="201"/>
      <c r="H85" s="201"/>
    </row>
    <row r="86" spans="1:10" x14ac:dyDescent="0.25">
      <c r="A86" s="31" t="s">
        <v>6</v>
      </c>
      <c r="C86" s="32" t="s">
        <v>19</v>
      </c>
    </row>
    <row r="87" spans="1:10" x14ac:dyDescent="0.25">
      <c r="A87" s="31" t="s">
        <v>7</v>
      </c>
      <c r="C87" s="31" t="s">
        <v>119</v>
      </c>
      <c r="E87" s="17" t="s">
        <v>117</v>
      </c>
    </row>
    <row r="89" spans="1:10" x14ac:dyDescent="0.25">
      <c r="A89" s="202" t="s">
        <v>142</v>
      </c>
      <c r="B89" s="202"/>
      <c r="C89" s="202"/>
      <c r="D89" s="202"/>
      <c r="E89" s="202"/>
      <c r="F89" s="202"/>
      <c r="G89" s="202"/>
      <c r="H89" s="202"/>
      <c r="I89" s="39"/>
      <c r="J89" s="39"/>
    </row>
    <row r="90" spans="1:10" x14ac:dyDescent="0.25">
      <c r="A90" s="63" t="s">
        <v>12</v>
      </c>
      <c r="B90" s="203" t="s">
        <v>30</v>
      </c>
      <c r="C90" s="203"/>
      <c r="D90" s="203"/>
      <c r="E90" s="203"/>
      <c r="F90" s="203"/>
      <c r="G90" s="203" t="s">
        <v>31</v>
      </c>
      <c r="H90" s="203"/>
      <c r="I90" s="64"/>
      <c r="J90" s="64"/>
    </row>
    <row r="91" spans="1:10" x14ac:dyDescent="0.25">
      <c r="A91" s="29">
        <v>1</v>
      </c>
      <c r="B91" s="195" t="s">
        <v>48</v>
      </c>
      <c r="C91" s="195"/>
      <c r="D91" s="195"/>
      <c r="E91" s="195"/>
      <c r="F91" s="195"/>
      <c r="G91" s="196">
        <v>1255054014</v>
      </c>
      <c r="H91" s="196"/>
    </row>
    <row r="92" spans="1:10" x14ac:dyDescent="0.25">
      <c r="A92" s="29">
        <v>2</v>
      </c>
      <c r="B92" s="195" t="s">
        <v>32</v>
      </c>
      <c r="C92" s="195"/>
      <c r="D92" s="195"/>
      <c r="E92" s="195"/>
      <c r="F92" s="195"/>
      <c r="G92" s="196">
        <f>+G61</f>
        <v>915258732</v>
      </c>
      <c r="H92" s="196"/>
    </row>
    <row r="93" spans="1:10" x14ac:dyDescent="0.25">
      <c r="A93" s="29">
        <v>3</v>
      </c>
      <c r="B93" s="195" t="s">
        <v>255</v>
      </c>
      <c r="C93" s="195"/>
      <c r="D93" s="195"/>
      <c r="E93" s="195"/>
      <c r="F93" s="195"/>
      <c r="G93" s="196">
        <f>+'Giá trị'!J390</f>
        <v>658759883</v>
      </c>
      <c r="H93" s="196"/>
    </row>
    <row r="94" spans="1:10" x14ac:dyDescent="0.25">
      <c r="A94" s="29">
        <v>4</v>
      </c>
      <c r="B94" s="195" t="s">
        <v>33</v>
      </c>
      <c r="C94" s="195"/>
      <c r="D94" s="195"/>
      <c r="E94" s="195"/>
      <c r="F94" s="195"/>
      <c r="G94" s="196">
        <v>30768025</v>
      </c>
      <c r="H94" s="196"/>
    </row>
    <row r="95" spans="1:10" x14ac:dyDescent="0.25">
      <c r="A95" s="29">
        <v>5</v>
      </c>
      <c r="B95" s="195" t="s">
        <v>34</v>
      </c>
      <c r="C95" s="195"/>
      <c r="D95" s="195"/>
      <c r="E95" s="195"/>
      <c r="F95" s="195"/>
      <c r="G95" s="196">
        <f>G92+G93-G94</f>
        <v>1543250590</v>
      </c>
      <c r="H95" s="196"/>
    </row>
    <row r="96" spans="1:10" ht="16.5" x14ac:dyDescent="0.25">
      <c r="A96" s="73" t="s">
        <v>123</v>
      </c>
      <c r="B96" s="74" t="s">
        <v>259</v>
      </c>
      <c r="C96" s="73"/>
      <c r="D96" s="73"/>
      <c r="E96" s="73"/>
      <c r="F96" s="73"/>
      <c r="G96" s="73"/>
      <c r="H96" s="73"/>
    </row>
    <row r="98" spans="1:10" x14ac:dyDescent="0.25">
      <c r="A98" s="197" t="s">
        <v>21</v>
      </c>
      <c r="B98" s="197"/>
      <c r="C98" s="197"/>
      <c r="D98" s="197"/>
      <c r="E98" s="197" t="s">
        <v>22</v>
      </c>
      <c r="F98" s="197"/>
      <c r="G98" s="197"/>
      <c r="H98" s="197"/>
      <c r="I98" s="197"/>
      <c r="J98" s="197"/>
    </row>
    <row r="103" spans="1:10" x14ac:dyDescent="0.25">
      <c r="A103" s="197" t="s">
        <v>1</v>
      </c>
      <c r="B103" s="197"/>
      <c r="C103" s="197"/>
      <c r="D103" s="197"/>
      <c r="E103" s="197"/>
      <c r="F103" s="197"/>
      <c r="G103" s="197"/>
      <c r="H103" s="197"/>
      <c r="I103" s="197"/>
      <c r="J103" s="197"/>
    </row>
    <row r="104" spans="1:10" x14ac:dyDescent="0.25">
      <c r="A104" s="197" t="s">
        <v>2</v>
      </c>
      <c r="B104" s="197"/>
      <c r="C104" s="197"/>
      <c r="D104" s="197"/>
      <c r="E104" s="197"/>
      <c r="F104" s="197"/>
      <c r="G104" s="197"/>
      <c r="H104" s="197"/>
      <c r="I104" s="197"/>
      <c r="J104" s="197"/>
    </row>
    <row r="106" spans="1:10" ht="20.25" x14ac:dyDescent="0.25">
      <c r="A106" s="204" t="s">
        <v>28</v>
      </c>
      <c r="B106" s="204"/>
      <c r="C106" s="204"/>
      <c r="D106" s="204"/>
      <c r="E106" s="204"/>
      <c r="F106" s="204"/>
      <c r="G106" s="204"/>
      <c r="H106" s="204"/>
      <c r="I106" s="204"/>
      <c r="J106" s="204"/>
    </row>
    <row r="107" spans="1:10" x14ac:dyDescent="0.25">
      <c r="A107" s="205" t="s">
        <v>264</v>
      </c>
      <c r="B107" s="205"/>
      <c r="C107" s="205"/>
      <c r="D107" s="205"/>
      <c r="E107" s="205"/>
      <c r="F107" s="205"/>
      <c r="G107" s="205"/>
      <c r="H107" s="205"/>
      <c r="I107" s="205"/>
      <c r="J107" s="205"/>
    </row>
    <row r="109" spans="1:10" ht="43.5" customHeight="1" x14ac:dyDescent="0.25">
      <c r="A109" s="206" t="s">
        <v>135</v>
      </c>
      <c r="B109" s="206"/>
      <c r="C109" s="206"/>
      <c r="D109" s="206"/>
      <c r="E109" s="206"/>
      <c r="F109" s="206"/>
      <c r="G109" s="206"/>
      <c r="H109" s="206"/>
    </row>
    <row r="110" spans="1:10" x14ac:dyDescent="0.25">
      <c r="A110" s="207" t="s">
        <v>134</v>
      </c>
      <c r="B110" s="207"/>
      <c r="C110" s="207"/>
      <c r="D110" s="207"/>
      <c r="E110" s="207"/>
      <c r="F110" s="207"/>
      <c r="G110" s="207"/>
      <c r="H110" s="207"/>
      <c r="I110" s="31"/>
      <c r="J110" s="31"/>
    </row>
    <row r="111" spans="1:10" x14ac:dyDescent="0.25">
      <c r="A111" s="38" t="s">
        <v>64</v>
      </c>
      <c r="B111" s="39"/>
      <c r="C111" s="201" t="s">
        <v>137</v>
      </c>
      <c r="D111" s="201"/>
      <c r="E111" s="201"/>
      <c r="F111" s="201"/>
      <c r="G111" s="201"/>
      <c r="H111" s="201"/>
      <c r="I111" s="39"/>
      <c r="J111" s="39"/>
    </row>
    <row r="112" spans="1:10" ht="16.5" x14ac:dyDescent="0.25">
      <c r="A112" s="31" t="s">
        <v>5</v>
      </c>
      <c r="C112" s="198" t="s">
        <v>138</v>
      </c>
      <c r="D112" s="208"/>
    </row>
    <row r="113" spans="1:10" ht="16.5" x14ac:dyDescent="0.25">
      <c r="A113" s="31" t="s">
        <v>4</v>
      </c>
      <c r="C113" s="209">
        <v>616139999</v>
      </c>
      <c r="D113" s="209"/>
      <c r="E113" s="17" t="s">
        <v>140</v>
      </c>
    </row>
    <row r="114" spans="1:10" ht="16.5" x14ac:dyDescent="0.25">
      <c r="A114" s="5" t="s">
        <v>6</v>
      </c>
      <c r="C114" s="198" t="s">
        <v>139</v>
      </c>
      <c r="D114" s="198"/>
    </row>
    <row r="115" spans="1:10" ht="16.5" x14ac:dyDescent="0.25">
      <c r="A115" s="5" t="s">
        <v>7</v>
      </c>
      <c r="C115" s="31" t="s">
        <v>141</v>
      </c>
      <c r="E115" s="17" t="s">
        <v>121</v>
      </c>
    </row>
    <row r="116" spans="1:10" x14ac:dyDescent="0.25">
      <c r="C116" s="199"/>
      <c r="D116" s="200"/>
    </row>
    <row r="117" spans="1:10" ht="16.5" x14ac:dyDescent="0.25">
      <c r="A117" s="7" t="s">
        <v>8</v>
      </c>
      <c r="B117" s="62"/>
      <c r="C117" s="31"/>
      <c r="D117" s="31"/>
      <c r="E117" s="62"/>
      <c r="F117" s="62"/>
      <c r="G117" s="62"/>
      <c r="H117" s="31"/>
      <c r="I117" s="31"/>
      <c r="J117" s="31"/>
    </row>
    <row r="118" spans="1:10" x14ac:dyDescent="0.25">
      <c r="A118" s="17" t="s">
        <v>65</v>
      </c>
      <c r="C118" s="17" t="s">
        <v>157</v>
      </c>
      <c r="D118" s="61"/>
    </row>
    <row r="119" spans="1:10" x14ac:dyDescent="0.25">
      <c r="A119" s="31" t="s">
        <v>5</v>
      </c>
      <c r="C119" s="32" t="s">
        <v>9</v>
      </c>
      <c r="D119" s="61"/>
    </row>
    <row r="120" spans="1:10" x14ac:dyDescent="0.25">
      <c r="A120" s="31" t="s">
        <v>10</v>
      </c>
      <c r="C120" s="32" t="s">
        <v>11</v>
      </c>
      <c r="E120" s="201" t="s">
        <v>131</v>
      </c>
      <c r="F120" s="201"/>
      <c r="G120" s="201"/>
      <c r="H120" s="201"/>
    </row>
    <row r="121" spans="1:10" x14ac:dyDescent="0.25">
      <c r="A121" s="31" t="s">
        <v>6</v>
      </c>
      <c r="C121" s="32" t="s">
        <v>19</v>
      </c>
    </row>
    <row r="122" spans="1:10" x14ac:dyDescent="0.25">
      <c r="A122" s="31" t="s">
        <v>7</v>
      </c>
      <c r="C122" s="31" t="s">
        <v>119</v>
      </c>
      <c r="E122" s="17" t="s">
        <v>117</v>
      </c>
    </row>
    <row r="124" spans="1:10" ht="23.25" customHeight="1" x14ac:dyDescent="0.25">
      <c r="A124" s="202" t="s">
        <v>142</v>
      </c>
      <c r="B124" s="202"/>
      <c r="C124" s="202"/>
      <c r="D124" s="202"/>
      <c r="E124" s="202"/>
      <c r="F124" s="202"/>
      <c r="G124" s="202"/>
      <c r="H124" s="202"/>
      <c r="I124" s="39"/>
      <c r="J124" s="39"/>
    </row>
    <row r="125" spans="1:10" ht="23.25" customHeight="1" x14ac:dyDescent="0.25">
      <c r="A125" s="63" t="s">
        <v>12</v>
      </c>
      <c r="B125" s="203" t="s">
        <v>30</v>
      </c>
      <c r="C125" s="203"/>
      <c r="D125" s="203"/>
      <c r="E125" s="203"/>
      <c r="F125" s="203"/>
      <c r="G125" s="203" t="s">
        <v>31</v>
      </c>
      <c r="H125" s="203"/>
      <c r="I125" s="64"/>
      <c r="J125" s="64"/>
    </row>
    <row r="126" spans="1:10" ht="23.25" customHeight="1" x14ac:dyDescent="0.25">
      <c r="A126" s="29">
        <v>1</v>
      </c>
      <c r="B126" s="195" t="s">
        <v>48</v>
      </c>
      <c r="C126" s="195"/>
      <c r="D126" s="195"/>
      <c r="E126" s="195"/>
      <c r="F126" s="195"/>
      <c r="G126" s="196">
        <v>1255054014</v>
      </c>
      <c r="H126" s="196"/>
    </row>
    <row r="127" spans="1:10" ht="23.25" customHeight="1" x14ac:dyDescent="0.25">
      <c r="A127" s="29">
        <v>2</v>
      </c>
      <c r="B127" s="195" t="s">
        <v>32</v>
      </c>
      <c r="C127" s="195"/>
      <c r="D127" s="195"/>
      <c r="E127" s="195"/>
      <c r="F127" s="195"/>
      <c r="G127" s="196">
        <f>+G95</f>
        <v>1543250590</v>
      </c>
      <c r="H127" s="196"/>
    </row>
    <row r="128" spans="1:10" ht="23.25" customHeight="1" x14ac:dyDescent="0.25">
      <c r="A128" s="29">
        <v>3</v>
      </c>
      <c r="B128" s="195" t="s">
        <v>265</v>
      </c>
      <c r="C128" s="195"/>
      <c r="D128" s="195"/>
      <c r="E128" s="195"/>
      <c r="F128" s="195"/>
      <c r="G128" s="196">
        <f>+'Giá trị'!J460</f>
        <v>1284088006</v>
      </c>
      <c r="H128" s="196"/>
    </row>
    <row r="129" spans="1:10" ht="23.25" customHeight="1" x14ac:dyDescent="0.25">
      <c r="A129" s="29">
        <v>4</v>
      </c>
      <c r="B129" s="195" t="s">
        <v>33</v>
      </c>
      <c r="C129" s="195"/>
      <c r="D129" s="195"/>
      <c r="E129" s="195"/>
      <c r="F129" s="195"/>
      <c r="G129" s="196"/>
      <c r="H129" s="196"/>
    </row>
    <row r="130" spans="1:10" ht="23.25" customHeight="1" x14ac:dyDescent="0.25">
      <c r="A130" s="29">
        <v>5</v>
      </c>
      <c r="B130" s="195" t="s">
        <v>34</v>
      </c>
      <c r="C130" s="195"/>
      <c r="D130" s="195"/>
      <c r="E130" s="195"/>
      <c r="F130" s="195"/>
      <c r="G130" s="196">
        <f>G127+G128-G129</f>
        <v>2827338596</v>
      </c>
      <c r="H130" s="196"/>
    </row>
    <row r="131" spans="1:10" ht="23.25" customHeight="1" x14ac:dyDescent="0.25">
      <c r="A131" s="73" t="s">
        <v>123</v>
      </c>
      <c r="B131" s="74" t="s">
        <v>271</v>
      </c>
      <c r="C131" s="73"/>
      <c r="D131" s="73"/>
      <c r="E131" s="73"/>
      <c r="F131" s="73"/>
      <c r="G131" s="73"/>
      <c r="H131" s="73"/>
    </row>
    <row r="133" spans="1:10" x14ac:dyDescent="0.25">
      <c r="A133" s="197" t="s">
        <v>21</v>
      </c>
      <c r="B133" s="197"/>
      <c r="C133" s="197"/>
      <c r="D133" s="197"/>
      <c r="E133" s="197" t="s">
        <v>22</v>
      </c>
      <c r="F133" s="197"/>
      <c r="G133" s="197"/>
      <c r="H133" s="197"/>
      <c r="I133" s="197"/>
      <c r="J133" s="197"/>
    </row>
    <row r="138" spans="1:10" x14ac:dyDescent="0.25">
      <c r="A138" s="197" t="s">
        <v>1</v>
      </c>
      <c r="B138" s="197"/>
      <c r="C138" s="197"/>
      <c r="D138" s="197"/>
      <c r="E138" s="197"/>
      <c r="F138" s="197"/>
      <c r="G138" s="197"/>
      <c r="H138" s="197"/>
      <c r="I138" s="197"/>
      <c r="J138" s="197"/>
    </row>
    <row r="139" spans="1:10" x14ac:dyDescent="0.25">
      <c r="A139" s="197" t="s">
        <v>2</v>
      </c>
      <c r="B139" s="197"/>
      <c r="C139" s="197"/>
      <c r="D139" s="197"/>
      <c r="E139" s="197"/>
      <c r="F139" s="197"/>
      <c r="G139" s="197"/>
      <c r="H139" s="197"/>
      <c r="I139" s="197"/>
      <c r="J139" s="197"/>
    </row>
    <row r="141" spans="1:10" ht="20.25" x14ac:dyDescent="0.25">
      <c r="A141" s="204" t="s">
        <v>28</v>
      </c>
      <c r="B141" s="204"/>
      <c r="C141" s="204"/>
      <c r="D141" s="204"/>
      <c r="E141" s="204"/>
      <c r="F141" s="204"/>
      <c r="G141" s="204"/>
      <c r="H141" s="204"/>
      <c r="I141" s="204"/>
      <c r="J141" s="204"/>
    </row>
    <row r="142" spans="1:10" x14ac:dyDescent="0.25">
      <c r="A142" s="205" t="s">
        <v>272</v>
      </c>
      <c r="B142" s="205"/>
      <c r="C142" s="205"/>
      <c r="D142" s="205"/>
      <c r="E142" s="205"/>
      <c r="F142" s="205"/>
      <c r="G142" s="205"/>
      <c r="H142" s="205"/>
      <c r="I142" s="205"/>
      <c r="J142" s="205"/>
    </row>
    <row r="144" spans="1:10" ht="44.25" customHeight="1" x14ac:dyDescent="0.25">
      <c r="A144" s="206" t="s">
        <v>135</v>
      </c>
      <c r="B144" s="206"/>
      <c r="C144" s="206"/>
      <c r="D144" s="206"/>
      <c r="E144" s="206"/>
      <c r="F144" s="206"/>
      <c r="G144" s="206"/>
      <c r="H144" s="206"/>
    </row>
    <row r="145" spans="1:10" x14ac:dyDescent="0.25">
      <c r="A145" s="207" t="s">
        <v>134</v>
      </c>
      <c r="B145" s="207"/>
      <c r="C145" s="207"/>
      <c r="D145" s="207"/>
      <c r="E145" s="207"/>
      <c r="F145" s="207"/>
      <c r="G145" s="207"/>
      <c r="H145" s="207"/>
      <c r="I145" s="31"/>
      <c r="J145" s="31"/>
    </row>
    <row r="146" spans="1:10" x14ac:dyDescent="0.25">
      <c r="A146" s="38" t="s">
        <v>64</v>
      </c>
      <c r="B146" s="39"/>
      <c r="C146" s="201" t="s">
        <v>137</v>
      </c>
      <c r="D146" s="201"/>
      <c r="E146" s="201"/>
      <c r="F146" s="201"/>
      <c r="G146" s="201"/>
      <c r="H146" s="201"/>
      <c r="I146" s="39"/>
      <c r="J146" s="39"/>
    </row>
    <row r="147" spans="1:10" ht="16.5" x14ac:dyDescent="0.25">
      <c r="A147" s="31" t="s">
        <v>5</v>
      </c>
      <c r="C147" s="198" t="s">
        <v>138</v>
      </c>
      <c r="D147" s="208"/>
    </row>
    <row r="148" spans="1:10" ht="16.5" x14ac:dyDescent="0.25">
      <c r="A148" s="31" t="s">
        <v>4</v>
      </c>
      <c r="C148" s="209">
        <v>616139999</v>
      </c>
      <c r="D148" s="209"/>
      <c r="E148" s="17" t="s">
        <v>140</v>
      </c>
    </row>
    <row r="149" spans="1:10" ht="16.5" x14ac:dyDescent="0.25">
      <c r="A149" s="5" t="s">
        <v>6</v>
      </c>
      <c r="C149" s="198" t="s">
        <v>139</v>
      </c>
      <c r="D149" s="198"/>
    </row>
    <row r="150" spans="1:10" ht="16.5" x14ac:dyDescent="0.25">
      <c r="A150" s="5" t="s">
        <v>7</v>
      </c>
      <c r="C150" s="31" t="s">
        <v>141</v>
      </c>
      <c r="E150" s="17" t="s">
        <v>121</v>
      </c>
    </row>
    <row r="151" spans="1:10" x14ac:dyDescent="0.25">
      <c r="C151" s="199"/>
      <c r="D151" s="200"/>
    </row>
    <row r="152" spans="1:10" ht="16.5" x14ac:dyDescent="0.25">
      <c r="A152" s="7" t="s">
        <v>8</v>
      </c>
      <c r="B152" s="62"/>
      <c r="C152" s="31"/>
      <c r="D152" s="31"/>
      <c r="E152" s="62"/>
      <c r="F152" s="62"/>
      <c r="G152" s="62"/>
      <c r="H152" s="31"/>
      <c r="I152" s="31"/>
      <c r="J152" s="31"/>
    </row>
    <row r="153" spans="1:10" x14ac:dyDescent="0.25">
      <c r="A153" s="17" t="s">
        <v>65</v>
      </c>
      <c r="C153" s="17" t="s">
        <v>157</v>
      </c>
      <c r="D153" s="61"/>
    </row>
    <row r="154" spans="1:10" x14ac:dyDescent="0.25">
      <c r="A154" s="31" t="s">
        <v>5</v>
      </c>
      <c r="C154" s="32" t="s">
        <v>9</v>
      </c>
      <c r="D154" s="61"/>
    </row>
    <row r="155" spans="1:10" x14ac:dyDescent="0.25">
      <c r="A155" s="31" t="s">
        <v>10</v>
      </c>
      <c r="C155" s="32" t="s">
        <v>11</v>
      </c>
      <c r="E155" s="201" t="s">
        <v>131</v>
      </c>
      <c r="F155" s="201"/>
      <c r="G155" s="201"/>
      <c r="H155" s="201"/>
    </row>
    <row r="156" spans="1:10" x14ac:dyDescent="0.25">
      <c r="A156" s="31" t="s">
        <v>6</v>
      </c>
      <c r="C156" s="32" t="s">
        <v>19</v>
      </c>
    </row>
    <row r="157" spans="1:10" x14ac:dyDescent="0.25">
      <c r="A157" s="31" t="s">
        <v>7</v>
      </c>
      <c r="C157" s="31" t="s">
        <v>119</v>
      </c>
      <c r="E157" s="17" t="s">
        <v>117</v>
      </c>
    </row>
    <row r="159" spans="1:10" ht="22.5" customHeight="1" x14ac:dyDescent="0.25">
      <c r="A159" s="202" t="s">
        <v>142</v>
      </c>
      <c r="B159" s="202"/>
      <c r="C159" s="202"/>
      <c r="D159" s="202"/>
      <c r="E159" s="202"/>
      <c r="F159" s="202"/>
      <c r="G159" s="202"/>
      <c r="H159" s="202"/>
      <c r="I159" s="39"/>
      <c r="J159" s="39"/>
    </row>
    <row r="160" spans="1:10" x14ac:dyDescent="0.25">
      <c r="A160" s="63" t="s">
        <v>12</v>
      </c>
      <c r="B160" s="203" t="s">
        <v>30</v>
      </c>
      <c r="C160" s="203"/>
      <c r="D160" s="203"/>
      <c r="E160" s="203"/>
      <c r="F160" s="203"/>
      <c r="G160" s="203" t="s">
        <v>31</v>
      </c>
      <c r="H160" s="203"/>
      <c r="I160" s="64"/>
      <c r="J160" s="64"/>
    </row>
    <row r="161" spans="1:10" x14ac:dyDescent="0.25">
      <c r="A161" s="29">
        <v>1</v>
      </c>
      <c r="B161" s="195" t="s">
        <v>48</v>
      </c>
      <c r="C161" s="195"/>
      <c r="D161" s="195"/>
      <c r="E161" s="195"/>
      <c r="F161" s="195"/>
      <c r="G161" s="196">
        <f>1255054014+424319720</f>
        <v>1679373734</v>
      </c>
      <c r="H161" s="196"/>
      <c r="I161" s="17" t="s">
        <v>279</v>
      </c>
    </row>
    <row r="162" spans="1:10" x14ac:dyDescent="0.25">
      <c r="A162" s="29">
        <v>2</v>
      </c>
      <c r="B162" s="195" t="s">
        <v>32</v>
      </c>
      <c r="C162" s="195"/>
      <c r="D162" s="195"/>
      <c r="E162" s="195"/>
      <c r="F162" s="195"/>
      <c r="G162" s="196">
        <f>+G130</f>
        <v>2827338596</v>
      </c>
      <c r="H162" s="196"/>
    </row>
    <row r="163" spans="1:10" x14ac:dyDescent="0.25">
      <c r="A163" s="29">
        <v>3</v>
      </c>
      <c r="B163" s="195" t="s">
        <v>278</v>
      </c>
      <c r="C163" s="195"/>
      <c r="D163" s="195"/>
      <c r="E163" s="195"/>
      <c r="F163" s="195"/>
      <c r="G163" s="196">
        <f>+'Giá trị'!J522</f>
        <v>1426564386</v>
      </c>
      <c r="H163" s="196"/>
    </row>
    <row r="164" spans="1:10" x14ac:dyDescent="0.25">
      <c r="A164" s="29">
        <v>4</v>
      </c>
      <c r="B164" s="195" t="s">
        <v>33</v>
      </c>
      <c r="C164" s="195"/>
      <c r="D164" s="195"/>
      <c r="E164" s="195"/>
      <c r="F164" s="195"/>
      <c r="G164" s="196">
        <f>575680280+884490708</f>
        <v>1460170988</v>
      </c>
      <c r="H164" s="196"/>
    </row>
    <row r="165" spans="1:10" x14ac:dyDescent="0.25">
      <c r="A165" s="29">
        <v>5</v>
      </c>
      <c r="B165" s="195" t="s">
        <v>34</v>
      </c>
      <c r="C165" s="195"/>
      <c r="D165" s="195"/>
      <c r="E165" s="195"/>
      <c r="F165" s="195"/>
      <c r="G165" s="196">
        <f>G162+G163-G164</f>
        <v>2793731994</v>
      </c>
      <c r="H165" s="196"/>
    </row>
    <row r="166" spans="1:10" ht="16.5" x14ac:dyDescent="0.25">
      <c r="A166" s="73" t="s">
        <v>123</v>
      </c>
      <c r="B166" s="74" t="s">
        <v>280</v>
      </c>
      <c r="C166" s="73"/>
      <c r="D166" s="73"/>
      <c r="E166" s="73"/>
      <c r="F166" s="73"/>
      <c r="G166" s="73"/>
      <c r="H166" s="73"/>
    </row>
    <row r="168" spans="1:10" x14ac:dyDescent="0.25">
      <c r="A168" s="197" t="s">
        <v>21</v>
      </c>
      <c r="B168" s="197"/>
      <c r="C168" s="197"/>
      <c r="D168" s="197"/>
      <c r="E168" s="197" t="s">
        <v>22</v>
      </c>
      <c r="F168" s="197"/>
      <c r="G168" s="197"/>
      <c r="H168" s="197"/>
      <c r="I168" s="197"/>
      <c r="J168" s="197"/>
    </row>
    <row r="173" spans="1:10" x14ac:dyDescent="0.25">
      <c r="A173" s="197" t="s">
        <v>1</v>
      </c>
      <c r="B173" s="197"/>
      <c r="C173" s="197"/>
      <c r="D173" s="197"/>
      <c r="E173" s="197"/>
      <c r="F173" s="197"/>
      <c r="G173" s="197"/>
      <c r="H173" s="197"/>
      <c r="I173" s="197"/>
      <c r="J173" s="197"/>
    </row>
    <row r="174" spans="1:10" x14ac:dyDescent="0.25">
      <c r="A174" s="197" t="s">
        <v>2</v>
      </c>
      <c r="B174" s="197"/>
      <c r="C174" s="197"/>
      <c r="D174" s="197"/>
      <c r="E174" s="197"/>
      <c r="F174" s="197"/>
      <c r="G174" s="197"/>
      <c r="H174" s="197"/>
      <c r="I174" s="197"/>
      <c r="J174" s="197"/>
    </row>
    <row r="176" spans="1:10" ht="20.25" x14ac:dyDescent="0.25">
      <c r="A176" s="204" t="s">
        <v>28</v>
      </c>
      <c r="B176" s="204"/>
      <c r="C176" s="204"/>
      <c r="D176" s="204"/>
      <c r="E176" s="204"/>
      <c r="F176" s="204"/>
      <c r="G176" s="204"/>
      <c r="H176" s="204"/>
      <c r="I176" s="204"/>
      <c r="J176" s="204"/>
    </row>
    <row r="177" spans="1:10" x14ac:dyDescent="0.25">
      <c r="A177" s="205" t="s">
        <v>282</v>
      </c>
      <c r="B177" s="205"/>
      <c r="C177" s="205"/>
      <c r="D177" s="205"/>
      <c r="E177" s="205"/>
      <c r="F177" s="205"/>
      <c r="G177" s="205"/>
      <c r="H177" s="205"/>
      <c r="I177" s="205"/>
      <c r="J177" s="205"/>
    </row>
    <row r="179" spans="1:10" ht="39.75" customHeight="1" x14ac:dyDescent="0.25">
      <c r="A179" s="206" t="s">
        <v>135</v>
      </c>
      <c r="B179" s="206"/>
      <c r="C179" s="206"/>
      <c r="D179" s="206"/>
      <c r="E179" s="206"/>
      <c r="F179" s="206"/>
      <c r="G179" s="206"/>
      <c r="H179" s="206"/>
    </row>
    <row r="180" spans="1:10" x14ac:dyDescent="0.25">
      <c r="A180" s="207" t="s">
        <v>134</v>
      </c>
      <c r="B180" s="207"/>
      <c r="C180" s="207"/>
      <c r="D180" s="207"/>
      <c r="E180" s="207"/>
      <c r="F180" s="207"/>
      <c r="G180" s="207"/>
      <c r="H180" s="207"/>
      <c r="I180" s="31"/>
      <c r="J180" s="31"/>
    </row>
    <row r="181" spans="1:10" x14ac:dyDescent="0.25">
      <c r="A181" s="38" t="s">
        <v>64</v>
      </c>
      <c r="B181" s="39"/>
      <c r="C181" s="201" t="s">
        <v>137</v>
      </c>
      <c r="D181" s="201"/>
      <c r="E181" s="201"/>
      <c r="F181" s="201"/>
      <c r="G181" s="201"/>
      <c r="H181" s="201"/>
      <c r="I181" s="39"/>
      <c r="J181" s="39"/>
    </row>
    <row r="182" spans="1:10" ht="16.5" x14ac:dyDescent="0.25">
      <c r="A182" s="31" t="s">
        <v>5</v>
      </c>
      <c r="C182" s="198" t="s">
        <v>138</v>
      </c>
      <c r="D182" s="208"/>
    </row>
    <row r="183" spans="1:10" ht="16.5" x14ac:dyDescent="0.25">
      <c r="A183" s="31" t="s">
        <v>4</v>
      </c>
      <c r="C183" s="209">
        <v>616139999</v>
      </c>
      <c r="D183" s="209"/>
      <c r="E183" s="17" t="s">
        <v>140</v>
      </c>
    </row>
    <row r="184" spans="1:10" ht="16.5" x14ac:dyDescent="0.25">
      <c r="A184" s="5" t="s">
        <v>6</v>
      </c>
      <c r="C184" s="198" t="s">
        <v>139</v>
      </c>
      <c r="D184" s="198"/>
    </row>
    <row r="185" spans="1:10" ht="16.5" x14ac:dyDescent="0.25">
      <c r="A185" s="5" t="s">
        <v>7</v>
      </c>
      <c r="C185" s="31" t="s">
        <v>141</v>
      </c>
      <c r="E185" s="17" t="s">
        <v>121</v>
      </c>
    </row>
    <row r="186" spans="1:10" x14ac:dyDescent="0.25">
      <c r="C186" s="199"/>
      <c r="D186" s="200"/>
    </row>
    <row r="187" spans="1:10" ht="16.5" x14ac:dyDescent="0.25">
      <c r="A187" s="7" t="s">
        <v>8</v>
      </c>
      <c r="B187" s="62"/>
      <c r="C187" s="31"/>
      <c r="D187" s="31"/>
      <c r="E187" s="62"/>
      <c r="F187" s="62"/>
      <c r="G187" s="62"/>
      <c r="H187" s="31"/>
      <c r="I187" s="31"/>
      <c r="J187" s="31"/>
    </row>
    <row r="188" spans="1:10" x14ac:dyDescent="0.25">
      <c r="A188" s="17" t="s">
        <v>65</v>
      </c>
      <c r="C188" s="17" t="s">
        <v>157</v>
      </c>
      <c r="D188" s="61"/>
    </row>
    <row r="189" spans="1:10" x14ac:dyDescent="0.25">
      <c r="A189" s="31" t="s">
        <v>5</v>
      </c>
      <c r="C189" s="32" t="s">
        <v>9</v>
      </c>
      <c r="D189" s="61"/>
    </row>
    <row r="190" spans="1:10" x14ac:dyDescent="0.25">
      <c r="A190" s="31" t="s">
        <v>10</v>
      </c>
      <c r="C190" s="32" t="s">
        <v>11</v>
      </c>
      <c r="E190" s="201" t="s">
        <v>131</v>
      </c>
      <c r="F190" s="201"/>
      <c r="G190" s="201"/>
      <c r="H190" s="201"/>
    </row>
    <row r="191" spans="1:10" x14ac:dyDescent="0.25">
      <c r="A191" s="31" t="s">
        <v>6</v>
      </c>
      <c r="C191" s="32" t="s">
        <v>19</v>
      </c>
    </row>
    <row r="192" spans="1:10" x14ac:dyDescent="0.25">
      <c r="A192" s="31" t="s">
        <v>7</v>
      </c>
      <c r="C192" s="31" t="s">
        <v>119</v>
      </c>
      <c r="E192" s="17" t="s">
        <v>117</v>
      </c>
    </row>
    <row r="194" spans="1:10" x14ac:dyDescent="0.25">
      <c r="A194" s="202" t="s">
        <v>142</v>
      </c>
      <c r="B194" s="202"/>
      <c r="C194" s="202"/>
      <c r="D194" s="202"/>
      <c r="E194" s="202"/>
      <c r="F194" s="202"/>
      <c r="G194" s="202"/>
      <c r="H194" s="202"/>
      <c r="I194" s="39"/>
      <c r="J194" s="39"/>
    </row>
    <row r="195" spans="1:10" x14ac:dyDescent="0.25">
      <c r="A195" s="63" t="s">
        <v>12</v>
      </c>
      <c r="B195" s="203" t="s">
        <v>30</v>
      </c>
      <c r="C195" s="203"/>
      <c r="D195" s="203"/>
      <c r="E195" s="203"/>
      <c r="F195" s="203"/>
      <c r="G195" s="203" t="s">
        <v>31</v>
      </c>
      <c r="H195" s="203"/>
      <c r="I195" s="64"/>
      <c r="J195" s="64"/>
    </row>
    <row r="196" spans="1:10" x14ac:dyDescent="0.25">
      <c r="A196" s="29">
        <v>1</v>
      </c>
      <c r="B196" s="195" t="s">
        <v>48</v>
      </c>
      <c r="C196" s="195"/>
      <c r="D196" s="195"/>
      <c r="E196" s="195"/>
      <c r="F196" s="195"/>
      <c r="G196" s="196">
        <f>1255054014+424319720</f>
        <v>1679373734</v>
      </c>
      <c r="H196" s="196"/>
      <c r="I196" s="17" t="s">
        <v>279</v>
      </c>
    </row>
    <row r="197" spans="1:10" x14ac:dyDescent="0.25">
      <c r="A197" s="29">
        <v>2</v>
      </c>
      <c r="B197" s="195" t="s">
        <v>32</v>
      </c>
      <c r="C197" s="195"/>
      <c r="D197" s="195"/>
      <c r="E197" s="195"/>
      <c r="F197" s="195"/>
      <c r="G197" s="196">
        <f>+G165</f>
        <v>2793731994</v>
      </c>
      <c r="H197" s="196"/>
    </row>
    <row r="198" spans="1:10" x14ac:dyDescent="0.25">
      <c r="A198" s="29">
        <v>3</v>
      </c>
      <c r="B198" s="195" t="s">
        <v>289</v>
      </c>
      <c r="C198" s="195"/>
      <c r="D198" s="195"/>
      <c r="E198" s="195"/>
      <c r="F198" s="195"/>
      <c r="G198" s="196">
        <f>+'Giá trị'!J625</f>
        <v>1325047770</v>
      </c>
      <c r="H198" s="196"/>
    </row>
    <row r="199" spans="1:10" x14ac:dyDescent="0.25">
      <c r="A199" s="29">
        <v>4</v>
      </c>
      <c r="B199" s="195" t="s">
        <v>33</v>
      </c>
      <c r="C199" s="195"/>
      <c r="D199" s="195"/>
      <c r="E199" s="195"/>
      <c r="F199" s="195"/>
      <c r="G199" s="196"/>
      <c r="H199" s="196"/>
    </row>
    <row r="200" spans="1:10" x14ac:dyDescent="0.25">
      <c r="A200" s="29">
        <v>5</v>
      </c>
      <c r="B200" s="195" t="s">
        <v>34</v>
      </c>
      <c r="C200" s="195"/>
      <c r="D200" s="195"/>
      <c r="E200" s="195"/>
      <c r="F200" s="195"/>
      <c r="G200" s="196">
        <f>G197+G198-G199</f>
        <v>4118779764</v>
      </c>
      <c r="H200" s="196"/>
    </row>
    <row r="201" spans="1:10" ht="16.5" x14ac:dyDescent="0.25">
      <c r="A201" s="73" t="s">
        <v>123</v>
      </c>
      <c r="B201" s="74" t="s">
        <v>290</v>
      </c>
      <c r="C201" s="73"/>
      <c r="D201" s="73"/>
      <c r="E201" s="73"/>
      <c r="F201" s="73"/>
      <c r="G201" s="73"/>
      <c r="H201" s="73"/>
    </row>
    <row r="202" spans="1:10" x14ac:dyDescent="0.25">
      <c r="I202" s="28"/>
    </row>
    <row r="203" spans="1:10" x14ac:dyDescent="0.25">
      <c r="A203" s="197" t="s">
        <v>21</v>
      </c>
      <c r="B203" s="197"/>
      <c r="C203" s="197"/>
      <c r="D203" s="197"/>
      <c r="E203" s="197" t="s">
        <v>22</v>
      </c>
      <c r="F203" s="197"/>
      <c r="G203" s="197"/>
      <c r="H203" s="197"/>
      <c r="I203" s="197"/>
      <c r="J203" s="197"/>
    </row>
    <row r="208" spans="1:10" x14ac:dyDescent="0.25">
      <c r="A208" s="197" t="s">
        <v>1</v>
      </c>
      <c r="B208" s="197"/>
      <c r="C208" s="197"/>
      <c r="D208" s="197"/>
      <c r="E208" s="197"/>
      <c r="F208" s="197"/>
      <c r="G208" s="197"/>
      <c r="H208" s="197"/>
      <c r="I208" s="197"/>
      <c r="J208" s="197"/>
    </row>
    <row r="209" spans="1:10" x14ac:dyDescent="0.25">
      <c r="A209" s="197" t="s">
        <v>2</v>
      </c>
      <c r="B209" s="197"/>
      <c r="C209" s="197"/>
      <c r="D209" s="197"/>
      <c r="E209" s="197"/>
      <c r="F209" s="197"/>
      <c r="G209" s="197"/>
      <c r="H209" s="197"/>
      <c r="I209" s="197"/>
      <c r="J209" s="197"/>
    </row>
    <row r="211" spans="1:10" ht="20.25" x14ac:dyDescent="0.25">
      <c r="A211" s="204" t="s">
        <v>28</v>
      </c>
      <c r="B211" s="204"/>
      <c r="C211" s="204"/>
      <c r="D211" s="204"/>
      <c r="E211" s="204"/>
      <c r="F211" s="204"/>
      <c r="G211" s="204"/>
      <c r="H211" s="204"/>
      <c r="I211" s="204"/>
      <c r="J211" s="204"/>
    </row>
    <row r="212" spans="1:10" x14ac:dyDescent="0.25">
      <c r="A212" s="205" t="s">
        <v>292</v>
      </c>
      <c r="B212" s="205"/>
      <c r="C212" s="205"/>
      <c r="D212" s="205"/>
      <c r="E212" s="205"/>
      <c r="F212" s="205"/>
      <c r="G212" s="205"/>
      <c r="H212" s="205"/>
      <c r="I212" s="205"/>
      <c r="J212" s="205"/>
    </row>
    <row r="214" spans="1:10" ht="39.75" customHeight="1" x14ac:dyDescent="0.25">
      <c r="A214" s="206" t="s">
        <v>135</v>
      </c>
      <c r="B214" s="206"/>
      <c r="C214" s="206"/>
      <c r="D214" s="206"/>
      <c r="E214" s="206"/>
      <c r="F214" s="206"/>
      <c r="G214" s="206"/>
      <c r="H214" s="206"/>
    </row>
    <row r="215" spans="1:10" x14ac:dyDescent="0.25">
      <c r="A215" s="207" t="s">
        <v>134</v>
      </c>
      <c r="B215" s="207"/>
      <c r="C215" s="207"/>
      <c r="D215" s="207"/>
      <c r="E215" s="207"/>
      <c r="F215" s="207"/>
      <c r="G215" s="207"/>
      <c r="H215" s="207"/>
      <c r="I215" s="31"/>
      <c r="J215" s="31"/>
    </row>
    <row r="216" spans="1:10" x14ac:dyDescent="0.25">
      <c r="A216" s="38" t="s">
        <v>64</v>
      </c>
      <c r="B216" s="39"/>
      <c r="C216" s="201" t="s">
        <v>137</v>
      </c>
      <c r="D216" s="201"/>
      <c r="E216" s="201"/>
      <c r="F216" s="201"/>
      <c r="G216" s="201"/>
      <c r="H216" s="201"/>
      <c r="I216" s="39"/>
      <c r="J216" s="39"/>
    </row>
    <row r="217" spans="1:10" ht="16.5" x14ac:dyDescent="0.25">
      <c r="A217" s="31" t="s">
        <v>5</v>
      </c>
      <c r="C217" s="198" t="s">
        <v>138</v>
      </c>
      <c r="D217" s="208"/>
    </row>
    <row r="218" spans="1:10" ht="16.5" x14ac:dyDescent="0.25">
      <c r="A218" s="31" t="s">
        <v>4</v>
      </c>
      <c r="C218" s="209">
        <v>616139999</v>
      </c>
      <c r="D218" s="209"/>
      <c r="E218" s="17" t="s">
        <v>140</v>
      </c>
    </row>
    <row r="219" spans="1:10" ht="16.5" x14ac:dyDescent="0.25">
      <c r="A219" s="5" t="s">
        <v>6</v>
      </c>
      <c r="C219" s="198" t="s">
        <v>139</v>
      </c>
      <c r="D219" s="198"/>
    </row>
    <row r="220" spans="1:10" ht="16.5" x14ac:dyDescent="0.25">
      <c r="A220" s="5" t="s">
        <v>7</v>
      </c>
      <c r="C220" s="31" t="s">
        <v>141</v>
      </c>
      <c r="E220" s="17" t="s">
        <v>121</v>
      </c>
    </row>
    <row r="221" spans="1:10" x14ac:dyDescent="0.25">
      <c r="C221" s="199"/>
      <c r="D221" s="200"/>
    </row>
    <row r="222" spans="1:10" ht="16.5" x14ac:dyDescent="0.25">
      <c r="A222" s="7" t="s">
        <v>8</v>
      </c>
      <c r="B222" s="62"/>
      <c r="C222" s="31"/>
      <c r="D222" s="31"/>
      <c r="E222" s="62"/>
      <c r="F222" s="62"/>
      <c r="G222" s="62"/>
      <c r="H222" s="31"/>
      <c r="I222" s="31"/>
      <c r="J222" s="31"/>
    </row>
    <row r="223" spans="1:10" x14ac:dyDescent="0.25">
      <c r="A223" s="17" t="s">
        <v>65</v>
      </c>
      <c r="C223" s="17" t="s">
        <v>157</v>
      </c>
      <c r="D223" s="124"/>
    </row>
    <row r="224" spans="1:10" x14ac:dyDescent="0.25">
      <c r="A224" s="31" t="s">
        <v>5</v>
      </c>
      <c r="C224" s="32" t="s">
        <v>9</v>
      </c>
      <c r="D224" s="124"/>
    </row>
    <row r="225" spans="1:10" x14ac:dyDescent="0.25">
      <c r="A225" s="31" t="s">
        <v>10</v>
      </c>
      <c r="C225" s="32" t="s">
        <v>11</v>
      </c>
      <c r="E225" s="201" t="s">
        <v>131</v>
      </c>
      <c r="F225" s="201"/>
      <c r="G225" s="201"/>
      <c r="H225" s="201"/>
    </row>
    <row r="226" spans="1:10" x14ac:dyDescent="0.25">
      <c r="A226" s="31" t="s">
        <v>6</v>
      </c>
      <c r="C226" s="32" t="s">
        <v>19</v>
      </c>
    </row>
    <row r="227" spans="1:10" x14ac:dyDescent="0.25">
      <c r="A227" s="31" t="s">
        <v>7</v>
      </c>
      <c r="C227" s="31" t="s">
        <v>119</v>
      </c>
      <c r="E227" s="17" t="s">
        <v>117</v>
      </c>
    </row>
    <row r="229" spans="1:10" x14ac:dyDescent="0.25">
      <c r="A229" s="202" t="s">
        <v>142</v>
      </c>
      <c r="B229" s="202"/>
      <c r="C229" s="202"/>
      <c r="D229" s="202"/>
      <c r="E229" s="202"/>
      <c r="F229" s="202"/>
      <c r="G229" s="202"/>
      <c r="H229" s="202"/>
      <c r="I229" s="39"/>
      <c r="J229" s="39"/>
    </row>
    <row r="230" spans="1:10" x14ac:dyDescent="0.25">
      <c r="A230" s="125" t="s">
        <v>12</v>
      </c>
      <c r="B230" s="203" t="s">
        <v>30</v>
      </c>
      <c r="C230" s="203"/>
      <c r="D230" s="203"/>
      <c r="E230" s="203"/>
      <c r="F230" s="203"/>
      <c r="G230" s="203" t="s">
        <v>31</v>
      </c>
      <c r="H230" s="203"/>
      <c r="I230" s="126"/>
      <c r="J230" s="126"/>
    </row>
    <row r="231" spans="1:10" x14ac:dyDescent="0.25">
      <c r="A231" s="29">
        <v>1</v>
      </c>
      <c r="B231" s="195" t="s">
        <v>48</v>
      </c>
      <c r="C231" s="195"/>
      <c r="D231" s="195"/>
      <c r="E231" s="195"/>
      <c r="F231" s="195"/>
      <c r="G231" s="196">
        <f>1255054014+424319720</f>
        <v>1679373734</v>
      </c>
      <c r="H231" s="196"/>
      <c r="I231" s="17" t="s">
        <v>279</v>
      </c>
    </row>
    <row r="232" spans="1:10" x14ac:dyDescent="0.25">
      <c r="A232" s="29">
        <v>2</v>
      </c>
      <c r="B232" s="195" t="s">
        <v>32</v>
      </c>
      <c r="C232" s="195"/>
      <c r="D232" s="195"/>
      <c r="E232" s="195"/>
      <c r="F232" s="195"/>
      <c r="G232" s="196">
        <f>+G200</f>
        <v>4118779764</v>
      </c>
      <c r="H232" s="196"/>
    </row>
    <row r="233" spans="1:10" x14ac:dyDescent="0.25">
      <c r="A233" s="29">
        <v>3</v>
      </c>
      <c r="B233" s="195" t="s">
        <v>297</v>
      </c>
      <c r="C233" s="195"/>
      <c r="D233" s="195"/>
      <c r="E233" s="195"/>
      <c r="F233" s="195"/>
      <c r="G233" s="196">
        <f>'Giá trị'!J738</f>
        <v>1210462443</v>
      </c>
      <c r="H233" s="196"/>
    </row>
    <row r="234" spans="1:10" x14ac:dyDescent="0.25">
      <c r="A234" s="29">
        <v>4</v>
      </c>
      <c r="B234" s="195" t="s">
        <v>33</v>
      </c>
      <c r="C234" s="195"/>
      <c r="D234" s="195"/>
      <c r="E234" s="195"/>
      <c r="F234" s="195"/>
      <c r="G234" s="196">
        <v>490000000</v>
      </c>
      <c r="H234" s="196"/>
    </row>
    <row r="235" spans="1:10" x14ac:dyDescent="0.25">
      <c r="A235" s="29">
        <v>5</v>
      </c>
      <c r="B235" s="195" t="s">
        <v>34</v>
      </c>
      <c r="C235" s="195"/>
      <c r="D235" s="195"/>
      <c r="E235" s="195"/>
      <c r="F235" s="195"/>
      <c r="G235" s="196">
        <f>G232+G233-G234</f>
        <v>4839242207</v>
      </c>
      <c r="H235" s="196"/>
    </row>
    <row r="236" spans="1:10" ht="16.5" x14ac:dyDescent="0.25">
      <c r="A236" s="73" t="s">
        <v>123</v>
      </c>
      <c r="B236" s="74" t="s">
        <v>301</v>
      </c>
      <c r="C236" s="73"/>
      <c r="D236" s="73"/>
      <c r="E236" s="73"/>
      <c r="F236" s="73"/>
      <c r="G236" s="73"/>
      <c r="H236" s="73"/>
    </row>
    <row r="238" spans="1:10" x14ac:dyDescent="0.25">
      <c r="A238" s="197" t="s">
        <v>21</v>
      </c>
      <c r="B238" s="197"/>
      <c r="C238" s="197"/>
      <c r="D238" s="197"/>
      <c r="E238" s="197" t="s">
        <v>22</v>
      </c>
      <c r="F238" s="197"/>
      <c r="G238" s="197"/>
      <c r="H238" s="197"/>
      <c r="I238" s="197"/>
      <c r="J238" s="197"/>
    </row>
    <row r="243" spans="1:10" x14ac:dyDescent="0.25">
      <c r="A243" s="197" t="s">
        <v>1</v>
      </c>
      <c r="B243" s="197"/>
      <c r="C243" s="197"/>
      <c r="D243" s="197"/>
      <c r="E243" s="197"/>
      <c r="F243" s="197"/>
      <c r="G243" s="197"/>
      <c r="H243" s="197"/>
      <c r="I243" s="197"/>
      <c r="J243" s="197"/>
    </row>
    <row r="244" spans="1:10" x14ac:dyDescent="0.25">
      <c r="A244" s="197" t="s">
        <v>2</v>
      </c>
      <c r="B244" s="197"/>
      <c r="C244" s="197"/>
      <c r="D244" s="197"/>
      <c r="E244" s="197"/>
      <c r="F244" s="197"/>
      <c r="G244" s="197"/>
      <c r="H244" s="197"/>
      <c r="I244" s="197"/>
      <c r="J244" s="197"/>
    </row>
    <row r="246" spans="1:10" ht="20.25" x14ac:dyDescent="0.25">
      <c r="A246" s="204" t="s">
        <v>28</v>
      </c>
      <c r="B246" s="204"/>
      <c r="C246" s="204"/>
      <c r="D246" s="204"/>
      <c r="E246" s="204"/>
      <c r="F246" s="204"/>
      <c r="G246" s="204"/>
      <c r="H246" s="204"/>
      <c r="I246" s="204"/>
      <c r="J246" s="204"/>
    </row>
    <row r="247" spans="1:10" x14ac:dyDescent="0.25">
      <c r="A247" s="205" t="s">
        <v>302</v>
      </c>
      <c r="B247" s="205"/>
      <c r="C247" s="205"/>
      <c r="D247" s="205"/>
      <c r="E247" s="205"/>
      <c r="F247" s="205"/>
      <c r="G247" s="205"/>
      <c r="H247" s="205"/>
      <c r="I247" s="205"/>
      <c r="J247" s="205"/>
    </row>
    <row r="249" spans="1:10" ht="39.75" customHeight="1" x14ac:dyDescent="0.25">
      <c r="A249" s="206" t="s">
        <v>135</v>
      </c>
      <c r="B249" s="206"/>
      <c r="C249" s="206"/>
      <c r="D249" s="206"/>
      <c r="E249" s="206"/>
      <c r="F249" s="206"/>
      <c r="G249" s="206"/>
      <c r="H249" s="206"/>
    </row>
    <row r="250" spans="1:10" x14ac:dyDescent="0.25">
      <c r="A250" s="207" t="s">
        <v>134</v>
      </c>
      <c r="B250" s="207"/>
      <c r="C250" s="207"/>
      <c r="D250" s="207"/>
      <c r="E250" s="207"/>
      <c r="F250" s="207"/>
      <c r="G250" s="207"/>
      <c r="H250" s="207"/>
      <c r="I250" s="31"/>
      <c r="J250" s="31"/>
    </row>
    <row r="251" spans="1:10" x14ac:dyDescent="0.25">
      <c r="A251" s="38" t="s">
        <v>64</v>
      </c>
      <c r="B251" s="39"/>
      <c r="C251" s="201" t="s">
        <v>137</v>
      </c>
      <c r="D251" s="201"/>
      <c r="E251" s="201"/>
      <c r="F251" s="201"/>
      <c r="G251" s="201"/>
      <c r="H251" s="201"/>
      <c r="I251" s="39"/>
      <c r="J251" s="39"/>
    </row>
    <row r="252" spans="1:10" ht="16.5" x14ac:dyDescent="0.25">
      <c r="A252" s="31" t="s">
        <v>5</v>
      </c>
      <c r="C252" s="198" t="s">
        <v>138</v>
      </c>
      <c r="D252" s="208"/>
    </row>
    <row r="253" spans="1:10" ht="16.5" x14ac:dyDescent="0.25">
      <c r="A253" s="31" t="s">
        <v>4</v>
      </c>
      <c r="C253" s="209">
        <v>616139999</v>
      </c>
      <c r="D253" s="209"/>
      <c r="E253" s="17" t="s">
        <v>140</v>
      </c>
    </row>
    <row r="254" spans="1:10" ht="16.5" x14ac:dyDescent="0.25">
      <c r="A254" s="5" t="s">
        <v>6</v>
      </c>
      <c r="C254" s="198" t="s">
        <v>139</v>
      </c>
      <c r="D254" s="198"/>
    </row>
    <row r="255" spans="1:10" ht="16.5" x14ac:dyDescent="0.25">
      <c r="A255" s="5" t="s">
        <v>7</v>
      </c>
      <c r="C255" s="31" t="s">
        <v>141</v>
      </c>
      <c r="E255" s="17" t="s">
        <v>121</v>
      </c>
    </row>
    <row r="256" spans="1:10" x14ac:dyDescent="0.25">
      <c r="C256" s="199"/>
      <c r="D256" s="200"/>
    </row>
    <row r="257" spans="1:10" ht="16.5" x14ac:dyDescent="0.25">
      <c r="A257" s="7" t="s">
        <v>8</v>
      </c>
      <c r="B257" s="62"/>
      <c r="C257" s="31"/>
      <c r="D257" s="31"/>
      <c r="E257" s="62"/>
      <c r="F257" s="62"/>
      <c r="G257" s="62"/>
      <c r="H257" s="31"/>
      <c r="I257" s="31"/>
      <c r="J257" s="31"/>
    </row>
    <row r="258" spans="1:10" x14ac:dyDescent="0.25">
      <c r="A258" s="17" t="s">
        <v>65</v>
      </c>
      <c r="C258" s="17" t="s">
        <v>157</v>
      </c>
      <c r="D258" s="142"/>
    </row>
    <row r="259" spans="1:10" x14ac:dyDescent="0.25">
      <c r="A259" s="31" t="s">
        <v>5</v>
      </c>
      <c r="C259" s="32" t="s">
        <v>9</v>
      </c>
      <c r="D259" s="142"/>
    </row>
    <row r="260" spans="1:10" x14ac:dyDescent="0.25">
      <c r="A260" s="31" t="s">
        <v>10</v>
      </c>
      <c r="C260" s="32" t="s">
        <v>11</v>
      </c>
      <c r="E260" s="201" t="s">
        <v>131</v>
      </c>
      <c r="F260" s="201"/>
      <c r="G260" s="201"/>
      <c r="H260" s="201"/>
    </row>
    <row r="261" spans="1:10" x14ac:dyDescent="0.25">
      <c r="A261" s="31" t="s">
        <v>6</v>
      </c>
      <c r="C261" s="32" t="s">
        <v>19</v>
      </c>
    </row>
    <row r="262" spans="1:10" x14ac:dyDescent="0.25">
      <c r="A262" s="31" t="s">
        <v>7</v>
      </c>
      <c r="C262" s="31" t="s">
        <v>119</v>
      </c>
      <c r="E262" s="17" t="s">
        <v>117</v>
      </c>
    </row>
    <row r="264" spans="1:10" x14ac:dyDescent="0.25">
      <c r="A264" s="202" t="s">
        <v>142</v>
      </c>
      <c r="B264" s="202"/>
      <c r="C264" s="202"/>
      <c r="D264" s="202"/>
      <c r="E264" s="202"/>
      <c r="F264" s="202"/>
      <c r="G264" s="202"/>
      <c r="H264" s="202"/>
      <c r="I264" s="39"/>
      <c r="J264" s="39"/>
    </row>
    <row r="265" spans="1:10" x14ac:dyDescent="0.25">
      <c r="A265" s="143" t="s">
        <v>12</v>
      </c>
      <c r="B265" s="203" t="s">
        <v>30</v>
      </c>
      <c r="C265" s="203"/>
      <c r="D265" s="203"/>
      <c r="E265" s="203"/>
      <c r="F265" s="203"/>
      <c r="G265" s="203" t="s">
        <v>31</v>
      </c>
      <c r="H265" s="203"/>
      <c r="I265" s="144"/>
      <c r="J265" s="144"/>
    </row>
    <row r="266" spans="1:10" x14ac:dyDescent="0.25">
      <c r="A266" s="29">
        <v>1</v>
      </c>
      <c r="B266" s="195" t="s">
        <v>48</v>
      </c>
      <c r="C266" s="195"/>
      <c r="D266" s="195"/>
      <c r="E266" s="195"/>
      <c r="F266" s="195"/>
      <c r="G266" s="196">
        <f>1255054014+424319720</f>
        <v>1679373734</v>
      </c>
      <c r="H266" s="196"/>
      <c r="I266" s="154" t="s">
        <v>279</v>
      </c>
    </row>
    <row r="267" spans="1:10" x14ac:dyDescent="0.25">
      <c r="A267" s="29">
        <v>2</v>
      </c>
      <c r="B267" s="195" t="s">
        <v>32</v>
      </c>
      <c r="C267" s="195"/>
      <c r="D267" s="195"/>
      <c r="E267" s="195"/>
      <c r="F267" s="195"/>
      <c r="G267" s="196">
        <f>+G235</f>
        <v>4839242207</v>
      </c>
      <c r="H267" s="196"/>
    </row>
    <row r="268" spans="1:10" x14ac:dyDescent="0.25">
      <c r="A268" s="29">
        <v>3</v>
      </c>
      <c r="B268" s="195" t="s">
        <v>306</v>
      </c>
      <c r="C268" s="195"/>
      <c r="D268" s="195"/>
      <c r="E268" s="195"/>
      <c r="F268" s="195"/>
      <c r="G268" s="196">
        <f>'Giá trị'!J861</f>
        <v>926699556</v>
      </c>
      <c r="H268" s="196"/>
    </row>
    <row r="269" spans="1:10" x14ac:dyDescent="0.25">
      <c r="A269" s="29">
        <v>4</v>
      </c>
      <c r="B269" s="195" t="s">
        <v>33</v>
      </c>
      <c r="C269" s="195"/>
      <c r="D269" s="195"/>
      <c r="E269" s="195"/>
      <c r="F269" s="195"/>
      <c r="G269" s="196">
        <v>2200000000</v>
      </c>
      <c r="H269" s="196"/>
    </row>
    <row r="270" spans="1:10" x14ac:dyDescent="0.25">
      <c r="A270" s="29">
        <v>5</v>
      </c>
      <c r="B270" s="195" t="s">
        <v>34</v>
      </c>
      <c r="C270" s="195"/>
      <c r="D270" s="195"/>
      <c r="E270" s="195"/>
      <c r="F270" s="195"/>
      <c r="G270" s="196">
        <f>G267+G268-G269</f>
        <v>3565941763</v>
      </c>
      <c r="H270" s="196"/>
    </row>
    <row r="271" spans="1:10" ht="16.5" x14ac:dyDescent="0.25">
      <c r="A271" s="73" t="s">
        <v>123</v>
      </c>
      <c r="B271" s="74" t="s">
        <v>309</v>
      </c>
      <c r="C271" s="73"/>
      <c r="D271" s="73"/>
      <c r="E271" s="73"/>
      <c r="F271" s="73"/>
      <c r="G271" s="73"/>
      <c r="H271" s="73"/>
    </row>
    <row r="273" spans="1:10" x14ac:dyDescent="0.25">
      <c r="A273" s="197" t="s">
        <v>21</v>
      </c>
      <c r="B273" s="197"/>
      <c r="C273" s="197"/>
      <c r="D273" s="197"/>
      <c r="E273" s="197" t="s">
        <v>22</v>
      </c>
      <c r="F273" s="197"/>
      <c r="G273" s="197"/>
      <c r="H273" s="197"/>
      <c r="I273" s="197"/>
      <c r="J273" s="197"/>
    </row>
    <row r="276" spans="1:10" x14ac:dyDescent="0.25">
      <c r="A276" s="197" t="s">
        <v>1</v>
      </c>
      <c r="B276" s="197"/>
      <c r="C276" s="197"/>
      <c r="D276" s="197"/>
      <c r="E276" s="197"/>
      <c r="F276" s="197"/>
      <c r="G276" s="197"/>
      <c r="H276" s="197"/>
      <c r="I276" s="197"/>
      <c r="J276" s="197"/>
    </row>
    <row r="277" spans="1:10" x14ac:dyDescent="0.25">
      <c r="A277" s="197" t="s">
        <v>2</v>
      </c>
      <c r="B277" s="197"/>
      <c r="C277" s="197"/>
      <c r="D277" s="197"/>
      <c r="E277" s="197"/>
      <c r="F277" s="197"/>
      <c r="G277" s="197"/>
      <c r="H277" s="197"/>
      <c r="I277" s="197"/>
      <c r="J277" s="197"/>
    </row>
    <row r="279" spans="1:10" ht="20.25" x14ac:dyDescent="0.25">
      <c r="A279" s="204" t="s">
        <v>28</v>
      </c>
      <c r="B279" s="204"/>
      <c r="C279" s="204"/>
      <c r="D279" s="204"/>
      <c r="E279" s="204"/>
      <c r="F279" s="204"/>
      <c r="G279" s="204"/>
      <c r="H279" s="204"/>
      <c r="I279" s="204"/>
      <c r="J279" s="204"/>
    </row>
    <row r="280" spans="1:10" x14ac:dyDescent="0.25">
      <c r="A280" s="205" t="s">
        <v>312</v>
      </c>
      <c r="B280" s="205"/>
      <c r="C280" s="205"/>
      <c r="D280" s="205"/>
      <c r="E280" s="205"/>
      <c r="F280" s="205"/>
      <c r="G280" s="205"/>
      <c r="H280" s="205"/>
      <c r="I280" s="205"/>
      <c r="J280" s="205"/>
    </row>
    <row r="282" spans="1:10" x14ac:dyDescent="0.25">
      <c r="A282" s="206" t="s">
        <v>135</v>
      </c>
      <c r="B282" s="206"/>
      <c r="C282" s="206"/>
      <c r="D282" s="206"/>
      <c r="E282" s="206"/>
      <c r="F282" s="206"/>
      <c r="G282" s="206"/>
      <c r="H282" s="206"/>
    </row>
    <row r="283" spans="1:10" x14ac:dyDescent="0.25">
      <c r="A283" s="207" t="s">
        <v>134</v>
      </c>
      <c r="B283" s="207"/>
      <c r="C283" s="207"/>
      <c r="D283" s="207"/>
      <c r="E283" s="207"/>
      <c r="F283" s="207"/>
      <c r="G283" s="207"/>
      <c r="H283" s="207"/>
      <c r="I283" s="31"/>
      <c r="J283" s="31"/>
    </row>
    <row r="284" spans="1:10" x14ac:dyDescent="0.25">
      <c r="A284" s="38" t="s">
        <v>64</v>
      </c>
      <c r="B284" s="39"/>
      <c r="C284" s="201" t="s">
        <v>137</v>
      </c>
      <c r="D284" s="201"/>
      <c r="E284" s="201"/>
      <c r="F284" s="201"/>
      <c r="G284" s="201"/>
      <c r="H284" s="201"/>
      <c r="I284" s="39"/>
      <c r="J284" s="39"/>
    </row>
    <row r="285" spans="1:10" ht="16.5" x14ac:dyDescent="0.25">
      <c r="A285" s="31" t="s">
        <v>5</v>
      </c>
      <c r="C285" s="198" t="s">
        <v>138</v>
      </c>
      <c r="D285" s="208"/>
    </row>
    <row r="286" spans="1:10" ht="16.5" x14ac:dyDescent="0.25">
      <c r="A286" s="31" t="s">
        <v>4</v>
      </c>
      <c r="C286" s="209">
        <v>616139999</v>
      </c>
      <c r="D286" s="209"/>
      <c r="E286" s="17" t="s">
        <v>140</v>
      </c>
    </row>
    <row r="287" spans="1:10" ht="16.5" x14ac:dyDescent="0.25">
      <c r="A287" s="5" t="s">
        <v>6</v>
      </c>
      <c r="C287" s="198" t="s">
        <v>139</v>
      </c>
      <c r="D287" s="198"/>
    </row>
    <row r="288" spans="1:10" ht="16.5" x14ac:dyDescent="0.25">
      <c r="A288" s="5" t="s">
        <v>7</v>
      </c>
      <c r="C288" s="31" t="s">
        <v>141</v>
      </c>
      <c r="E288" s="17" t="s">
        <v>121</v>
      </c>
    </row>
    <row r="289" spans="1:10" x14ac:dyDescent="0.25">
      <c r="C289" s="199"/>
      <c r="D289" s="200"/>
    </row>
    <row r="290" spans="1:10" ht="16.5" x14ac:dyDescent="0.25">
      <c r="A290" s="7" t="s">
        <v>8</v>
      </c>
      <c r="B290" s="62"/>
      <c r="C290" s="31"/>
      <c r="D290" s="31"/>
      <c r="E290" s="62"/>
      <c r="F290" s="62"/>
      <c r="G290" s="62"/>
      <c r="H290" s="31"/>
      <c r="I290" s="31"/>
      <c r="J290" s="31"/>
    </row>
    <row r="291" spans="1:10" x14ac:dyDescent="0.25">
      <c r="A291" s="17" t="s">
        <v>65</v>
      </c>
      <c r="C291" s="17" t="s">
        <v>157</v>
      </c>
      <c r="D291" s="166"/>
    </row>
    <row r="292" spans="1:10" x14ac:dyDescent="0.25">
      <c r="A292" s="31" t="s">
        <v>5</v>
      </c>
      <c r="C292" s="32" t="s">
        <v>9</v>
      </c>
      <c r="D292" s="166"/>
    </row>
    <row r="293" spans="1:10" x14ac:dyDescent="0.25">
      <c r="A293" s="31" t="s">
        <v>10</v>
      </c>
      <c r="C293" s="32" t="s">
        <v>11</v>
      </c>
      <c r="E293" s="201" t="s">
        <v>131</v>
      </c>
      <c r="F293" s="201"/>
      <c r="G293" s="201"/>
      <c r="H293" s="201"/>
    </row>
    <row r="294" spans="1:10" x14ac:dyDescent="0.25">
      <c r="A294" s="31" t="s">
        <v>6</v>
      </c>
      <c r="C294" s="32" t="s">
        <v>19</v>
      </c>
    </row>
    <row r="295" spans="1:10" x14ac:dyDescent="0.25">
      <c r="A295" s="31" t="s">
        <v>7</v>
      </c>
      <c r="C295" s="31" t="s">
        <v>119</v>
      </c>
      <c r="E295" s="17" t="s">
        <v>117</v>
      </c>
    </row>
    <row r="297" spans="1:10" x14ac:dyDescent="0.25">
      <c r="A297" s="202" t="s">
        <v>142</v>
      </c>
      <c r="B297" s="202"/>
      <c r="C297" s="202"/>
      <c r="D297" s="202"/>
      <c r="E297" s="202"/>
      <c r="F297" s="202"/>
      <c r="G297" s="202"/>
      <c r="H297" s="202"/>
      <c r="I297" s="39"/>
      <c r="J297" s="39"/>
    </row>
    <row r="298" spans="1:10" x14ac:dyDescent="0.25">
      <c r="A298" s="167" t="s">
        <v>12</v>
      </c>
      <c r="B298" s="203" t="s">
        <v>30</v>
      </c>
      <c r="C298" s="203"/>
      <c r="D298" s="203"/>
      <c r="E298" s="203"/>
      <c r="F298" s="203"/>
      <c r="G298" s="203" t="s">
        <v>31</v>
      </c>
      <c r="H298" s="203"/>
      <c r="I298" s="168"/>
      <c r="J298" s="168"/>
    </row>
    <row r="299" spans="1:10" x14ac:dyDescent="0.25">
      <c r="A299" s="29">
        <v>1</v>
      </c>
      <c r="B299" s="195" t="s">
        <v>48</v>
      </c>
      <c r="C299" s="195"/>
      <c r="D299" s="195"/>
      <c r="E299" s="195"/>
      <c r="F299" s="195"/>
      <c r="G299" s="196">
        <f>1255054014+424319720</f>
        <v>1679373734</v>
      </c>
      <c r="H299" s="196"/>
      <c r="I299" s="175"/>
    </row>
    <row r="300" spans="1:10" x14ac:dyDescent="0.25">
      <c r="A300" s="29">
        <v>2</v>
      </c>
      <c r="B300" s="195" t="s">
        <v>32</v>
      </c>
      <c r="C300" s="195"/>
      <c r="D300" s="195"/>
      <c r="E300" s="195"/>
      <c r="F300" s="195"/>
      <c r="G300" s="196">
        <f>G270</f>
        <v>3565941763</v>
      </c>
      <c r="H300" s="196"/>
    </row>
    <row r="301" spans="1:10" x14ac:dyDescent="0.25">
      <c r="A301" s="29">
        <v>3</v>
      </c>
      <c r="B301" s="195" t="s">
        <v>318</v>
      </c>
      <c r="C301" s="195"/>
      <c r="D301" s="195"/>
      <c r="E301" s="195"/>
      <c r="F301" s="195"/>
      <c r="G301" s="196">
        <f>'Giá trị'!J949</f>
        <v>890505769</v>
      </c>
      <c r="H301" s="196"/>
    </row>
    <row r="302" spans="1:10" x14ac:dyDescent="0.25">
      <c r="A302" s="29">
        <v>4</v>
      </c>
      <c r="B302" s="195" t="s">
        <v>33</v>
      </c>
      <c r="C302" s="195"/>
      <c r="D302" s="195"/>
      <c r="E302" s="195"/>
      <c r="F302" s="195"/>
      <c r="G302" s="196">
        <v>1550000000</v>
      </c>
      <c r="H302" s="196"/>
    </row>
    <row r="303" spans="1:10" x14ac:dyDescent="0.25">
      <c r="A303" s="29">
        <v>5</v>
      </c>
      <c r="B303" s="195" t="s">
        <v>34</v>
      </c>
      <c r="C303" s="195"/>
      <c r="D303" s="195"/>
      <c r="E303" s="195"/>
      <c r="F303" s="195"/>
      <c r="G303" s="196">
        <f>G300+G301-G302</f>
        <v>2906447532</v>
      </c>
      <c r="H303" s="196"/>
      <c r="I303" s="28"/>
    </row>
    <row r="304" spans="1:10" ht="16.5" x14ac:dyDescent="0.25">
      <c r="A304" s="73" t="s">
        <v>123</v>
      </c>
      <c r="B304" s="74" t="s">
        <v>320</v>
      </c>
      <c r="C304" s="73"/>
      <c r="D304" s="73"/>
      <c r="E304" s="73"/>
      <c r="F304" s="73"/>
      <c r="G304" s="73"/>
      <c r="H304" s="73"/>
    </row>
    <row r="306" spans="1:10" x14ac:dyDescent="0.25">
      <c r="A306" s="197" t="s">
        <v>21</v>
      </c>
      <c r="B306" s="197"/>
      <c r="C306" s="197"/>
      <c r="D306" s="197"/>
      <c r="E306" s="197" t="s">
        <v>22</v>
      </c>
      <c r="F306" s="197"/>
      <c r="G306" s="197"/>
      <c r="H306" s="197"/>
      <c r="I306" s="197"/>
      <c r="J306" s="197"/>
    </row>
  </sheetData>
  <mergeCells count="243">
    <mergeCell ref="B233:F233"/>
    <mergeCell ref="G233:H233"/>
    <mergeCell ref="B234:F234"/>
    <mergeCell ref="G234:H234"/>
    <mergeCell ref="B235:F235"/>
    <mergeCell ref="G235:H235"/>
    <mergeCell ref="A238:D238"/>
    <mergeCell ref="E238:J238"/>
    <mergeCell ref="C219:D219"/>
    <mergeCell ref="C221:D221"/>
    <mergeCell ref="E225:H225"/>
    <mergeCell ref="A229:H229"/>
    <mergeCell ref="B230:F230"/>
    <mergeCell ref="G230:H230"/>
    <mergeCell ref="B231:F231"/>
    <mergeCell ref="G231:H231"/>
    <mergeCell ref="B232:F232"/>
    <mergeCell ref="G232:H232"/>
    <mergeCell ref="A208:J208"/>
    <mergeCell ref="A209:J209"/>
    <mergeCell ref="A211:J211"/>
    <mergeCell ref="A212:J212"/>
    <mergeCell ref="A214:H214"/>
    <mergeCell ref="A215:H215"/>
    <mergeCell ref="C216:H216"/>
    <mergeCell ref="C217:D217"/>
    <mergeCell ref="C218:D218"/>
    <mergeCell ref="B198:F198"/>
    <mergeCell ref="G198:H198"/>
    <mergeCell ref="B199:F199"/>
    <mergeCell ref="G199:H199"/>
    <mergeCell ref="B200:F200"/>
    <mergeCell ref="G200:H200"/>
    <mergeCell ref="A203:D203"/>
    <mergeCell ref="E203:J203"/>
    <mergeCell ref="C186:D186"/>
    <mergeCell ref="E190:H190"/>
    <mergeCell ref="A194:H194"/>
    <mergeCell ref="B195:F195"/>
    <mergeCell ref="G195:H195"/>
    <mergeCell ref="B196:F196"/>
    <mergeCell ref="G196:H196"/>
    <mergeCell ref="B197:F197"/>
    <mergeCell ref="G197:H197"/>
    <mergeCell ref="A174:J174"/>
    <mergeCell ref="A176:J176"/>
    <mergeCell ref="A177:J177"/>
    <mergeCell ref="A179:H179"/>
    <mergeCell ref="A180:H180"/>
    <mergeCell ref="C181:H181"/>
    <mergeCell ref="C182:D182"/>
    <mergeCell ref="C183:D183"/>
    <mergeCell ref="C184:D184"/>
    <mergeCell ref="B57:F57"/>
    <mergeCell ref="G57:H57"/>
    <mergeCell ref="B58:F58"/>
    <mergeCell ref="G58:H58"/>
    <mergeCell ref="B59:F59"/>
    <mergeCell ref="G59:H59"/>
    <mergeCell ref="B60:F60"/>
    <mergeCell ref="G60:H60"/>
    <mergeCell ref="A173:J173"/>
    <mergeCell ref="C77:D77"/>
    <mergeCell ref="C78:D78"/>
    <mergeCell ref="C79:D79"/>
    <mergeCell ref="A68:J68"/>
    <mergeCell ref="A69:J69"/>
    <mergeCell ref="A71:J71"/>
    <mergeCell ref="A72:J72"/>
    <mergeCell ref="A74:H74"/>
    <mergeCell ref="B91:F91"/>
    <mergeCell ref="G91:H91"/>
    <mergeCell ref="B92:F92"/>
    <mergeCell ref="G92:H92"/>
    <mergeCell ref="B93:F93"/>
    <mergeCell ref="G93:H93"/>
    <mergeCell ref="C81:D81"/>
    <mergeCell ref="A1:J1"/>
    <mergeCell ref="A2:J2"/>
    <mergeCell ref="A4:J4"/>
    <mergeCell ref="A5:J5"/>
    <mergeCell ref="A7:H7"/>
    <mergeCell ref="A34:J34"/>
    <mergeCell ref="A35:J35"/>
    <mergeCell ref="A37:J37"/>
    <mergeCell ref="A38:J38"/>
    <mergeCell ref="C14:D14"/>
    <mergeCell ref="B23:F23"/>
    <mergeCell ref="G23:H23"/>
    <mergeCell ref="A22:H22"/>
    <mergeCell ref="E18:H18"/>
    <mergeCell ref="A8:H8"/>
    <mergeCell ref="C9:H9"/>
    <mergeCell ref="C10:D10"/>
    <mergeCell ref="C11:D11"/>
    <mergeCell ref="C12:D12"/>
    <mergeCell ref="A31:D31"/>
    <mergeCell ref="E31:J31"/>
    <mergeCell ref="B27:F27"/>
    <mergeCell ref="G27:H27"/>
    <mergeCell ref="B28:F28"/>
    <mergeCell ref="G28:H28"/>
    <mergeCell ref="B24:F24"/>
    <mergeCell ref="G24:H24"/>
    <mergeCell ref="B25:F25"/>
    <mergeCell ref="G25:H25"/>
    <mergeCell ref="B26:F26"/>
    <mergeCell ref="G26:H26"/>
    <mergeCell ref="A75:H75"/>
    <mergeCell ref="C76:H76"/>
    <mergeCell ref="A40:H40"/>
    <mergeCell ref="A41:H41"/>
    <mergeCell ref="C42:H42"/>
    <mergeCell ref="C43:D43"/>
    <mergeCell ref="C44:D44"/>
    <mergeCell ref="C45:D45"/>
    <mergeCell ref="C47:D47"/>
    <mergeCell ref="E51:H51"/>
    <mergeCell ref="A55:H55"/>
    <mergeCell ref="B61:F61"/>
    <mergeCell ref="G61:H61"/>
    <mergeCell ref="A64:D64"/>
    <mergeCell ref="E64:J64"/>
    <mergeCell ref="B56:F56"/>
    <mergeCell ref="G56:H56"/>
    <mergeCell ref="E85:H85"/>
    <mergeCell ref="A89:H89"/>
    <mergeCell ref="B90:F90"/>
    <mergeCell ref="G90:H90"/>
    <mergeCell ref="A103:J103"/>
    <mergeCell ref="A104:J104"/>
    <mergeCell ref="A106:J106"/>
    <mergeCell ref="A107:J107"/>
    <mergeCell ref="A109:H109"/>
    <mergeCell ref="B94:F94"/>
    <mergeCell ref="G94:H94"/>
    <mergeCell ref="B95:F95"/>
    <mergeCell ref="G95:H95"/>
    <mergeCell ref="A98:D98"/>
    <mergeCell ref="E98:J98"/>
    <mergeCell ref="C116:D116"/>
    <mergeCell ref="E120:H120"/>
    <mergeCell ref="A124:H124"/>
    <mergeCell ref="B125:F125"/>
    <mergeCell ref="G125:H125"/>
    <mergeCell ref="A110:H110"/>
    <mergeCell ref="C111:H111"/>
    <mergeCell ref="C112:D112"/>
    <mergeCell ref="C113:D113"/>
    <mergeCell ref="C114:D114"/>
    <mergeCell ref="B129:F129"/>
    <mergeCell ref="G129:H129"/>
    <mergeCell ref="B130:F130"/>
    <mergeCell ref="G130:H130"/>
    <mergeCell ref="A133:D133"/>
    <mergeCell ref="E133:J133"/>
    <mergeCell ref="B126:F126"/>
    <mergeCell ref="G126:H126"/>
    <mergeCell ref="B127:F127"/>
    <mergeCell ref="G127:H127"/>
    <mergeCell ref="B128:F128"/>
    <mergeCell ref="G128:H128"/>
    <mergeCell ref="A138:J138"/>
    <mergeCell ref="A139:J139"/>
    <mergeCell ref="A141:J141"/>
    <mergeCell ref="A142:J142"/>
    <mergeCell ref="A144:H144"/>
    <mergeCell ref="A145:H145"/>
    <mergeCell ref="C146:H146"/>
    <mergeCell ref="C147:D147"/>
    <mergeCell ref="C148:D148"/>
    <mergeCell ref="B163:F163"/>
    <mergeCell ref="G163:H163"/>
    <mergeCell ref="B164:F164"/>
    <mergeCell ref="G164:H164"/>
    <mergeCell ref="B165:F165"/>
    <mergeCell ref="G165:H165"/>
    <mergeCell ref="A168:D168"/>
    <mergeCell ref="E168:J168"/>
    <mergeCell ref="C149:D149"/>
    <mergeCell ref="C151:D151"/>
    <mergeCell ref="E155:H155"/>
    <mergeCell ref="A159:H159"/>
    <mergeCell ref="B160:F160"/>
    <mergeCell ref="G160:H160"/>
    <mergeCell ref="B161:F161"/>
    <mergeCell ref="G161:H161"/>
    <mergeCell ref="B162:F162"/>
    <mergeCell ref="G162:H162"/>
    <mergeCell ref="A243:J243"/>
    <mergeCell ref="A244:J244"/>
    <mergeCell ref="A246:J246"/>
    <mergeCell ref="A247:J247"/>
    <mergeCell ref="A249:H249"/>
    <mergeCell ref="A250:H250"/>
    <mergeCell ref="C251:H251"/>
    <mergeCell ref="C252:D252"/>
    <mergeCell ref="C253:D253"/>
    <mergeCell ref="B268:F268"/>
    <mergeCell ref="G268:H268"/>
    <mergeCell ref="B269:F269"/>
    <mergeCell ref="G269:H269"/>
    <mergeCell ref="B270:F270"/>
    <mergeCell ref="G270:H270"/>
    <mergeCell ref="A273:D273"/>
    <mergeCell ref="E273:J273"/>
    <mergeCell ref="C254:D254"/>
    <mergeCell ref="C256:D256"/>
    <mergeCell ref="E260:H260"/>
    <mergeCell ref="A264:H264"/>
    <mergeCell ref="B265:F265"/>
    <mergeCell ref="G265:H265"/>
    <mergeCell ref="B266:F266"/>
    <mergeCell ref="G266:H266"/>
    <mergeCell ref="B267:F267"/>
    <mergeCell ref="G267:H267"/>
    <mergeCell ref="A276:J276"/>
    <mergeCell ref="A277:J277"/>
    <mergeCell ref="A279:J279"/>
    <mergeCell ref="A280:J280"/>
    <mergeCell ref="A282:H282"/>
    <mergeCell ref="A283:H283"/>
    <mergeCell ref="C284:H284"/>
    <mergeCell ref="C285:D285"/>
    <mergeCell ref="C286:D286"/>
    <mergeCell ref="B301:F301"/>
    <mergeCell ref="G301:H301"/>
    <mergeCell ref="B302:F302"/>
    <mergeCell ref="G302:H302"/>
    <mergeCell ref="B303:F303"/>
    <mergeCell ref="G303:H303"/>
    <mergeCell ref="A306:D306"/>
    <mergeCell ref="E306:J306"/>
    <mergeCell ref="C287:D287"/>
    <mergeCell ref="C289:D289"/>
    <mergeCell ref="E293:H293"/>
    <mergeCell ref="A297:H297"/>
    <mergeCell ref="B298:F298"/>
    <mergeCell ref="G298:H298"/>
    <mergeCell ref="B299:F299"/>
    <mergeCell ref="G299:H299"/>
    <mergeCell ref="B300:F300"/>
    <mergeCell ref="G300:H300"/>
  </mergeCells>
  <pageMargins left="0.51181102362204722" right="0.39370078740157483" top="0.39370078740157483" bottom="0.39370078740157483" header="0.31496062992125984" footer="0.31496062992125984"/>
  <pageSetup paperSize="9" scale="6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952"/>
  <sheetViews>
    <sheetView view="pageBreakPreview" topLeftCell="A928" zoomScale="85" zoomScaleNormal="85" zoomScaleSheetLayoutView="85" workbookViewId="0">
      <selection activeCell="J950" sqref="J950"/>
    </sheetView>
  </sheetViews>
  <sheetFormatPr defaultColWidth="9.140625" defaultRowHeight="15" x14ac:dyDescent="0.25"/>
  <cols>
    <col min="1" max="1" width="11.42578125" style="1" customWidth="1"/>
    <col min="2" max="2" width="43" style="1" customWidth="1"/>
    <col min="3" max="3" width="12.140625" style="92" customWidth="1"/>
    <col min="4" max="5" width="16.28515625" style="92" customWidth="1"/>
    <col min="6" max="6" width="12.5703125" style="1" customWidth="1"/>
    <col min="7" max="7" width="16.85546875" style="1" customWidth="1"/>
    <col min="8" max="8" width="10.5703125" style="1" customWidth="1"/>
    <col min="9" max="9" width="13.140625" style="1" customWidth="1"/>
    <col min="10" max="10" width="21.140625" style="1" customWidth="1"/>
    <col min="11" max="11" width="24.42578125" style="92" customWidth="1"/>
    <col min="12" max="12" width="17" style="85" bestFit="1" customWidth="1"/>
    <col min="13" max="13" width="15.5703125" style="1" customWidth="1"/>
    <col min="14" max="14" width="10.42578125" style="1" bestFit="1" customWidth="1"/>
    <col min="15" max="15" width="9.140625" style="1"/>
    <col min="16" max="16" width="11.42578125" style="1" bestFit="1" customWidth="1"/>
    <col min="17" max="16384" width="9.140625" style="1"/>
  </cols>
  <sheetData>
    <row r="1" spans="1:12" ht="22.5" customHeight="1" x14ac:dyDescent="0.25">
      <c r="A1" s="197" t="s">
        <v>1</v>
      </c>
      <c r="B1" s="197"/>
      <c r="C1" s="197"/>
      <c r="D1" s="197"/>
      <c r="E1" s="197"/>
      <c r="F1" s="197"/>
      <c r="G1" s="197"/>
      <c r="H1" s="197"/>
      <c r="I1" s="197"/>
      <c r="J1" s="197"/>
      <c r="K1" s="197"/>
    </row>
    <row r="2" spans="1:12" ht="18.75" customHeight="1" x14ac:dyDescent="0.25">
      <c r="A2" s="197" t="s">
        <v>2</v>
      </c>
      <c r="B2" s="197"/>
      <c r="C2" s="197"/>
      <c r="D2" s="197"/>
      <c r="E2" s="197"/>
      <c r="F2" s="197"/>
      <c r="G2" s="197"/>
      <c r="H2" s="197"/>
      <c r="I2" s="197"/>
      <c r="J2" s="197"/>
      <c r="K2" s="197"/>
    </row>
    <row r="3" spans="1:12" x14ac:dyDescent="0.25">
      <c r="A3" s="18"/>
      <c r="B3" s="18"/>
      <c r="C3" s="18"/>
      <c r="D3" s="18"/>
      <c r="E3" s="18"/>
      <c r="F3" s="18"/>
      <c r="G3" s="18"/>
      <c r="H3" s="18"/>
      <c r="I3" s="18"/>
      <c r="J3" s="18"/>
      <c r="K3" s="18"/>
    </row>
    <row r="4" spans="1:12" ht="28.5" customHeight="1" x14ac:dyDescent="0.25">
      <c r="A4" s="204" t="s">
        <v>29</v>
      </c>
      <c r="B4" s="204"/>
      <c r="C4" s="204"/>
      <c r="D4" s="204"/>
      <c r="E4" s="204"/>
      <c r="F4" s="204"/>
      <c r="G4" s="204"/>
      <c r="H4" s="204"/>
      <c r="I4" s="204"/>
      <c r="J4" s="204"/>
      <c r="K4" s="204"/>
    </row>
    <row r="5" spans="1:12" ht="20.25" customHeight="1" x14ac:dyDescent="0.25">
      <c r="A5" s="197" t="str">
        <f>+"Tháng "&amp;MONTH(L6)&amp;"/2025"</f>
        <v>Tháng 12/2025</v>
      </c>
      <c r="B5" s="197"/>
      <c r="C5" s="197"/>
      <c r="D5" s="197"/>
      <c r="E5" s="197"/>
      <c r="F5" s="197"/>
      <c r="G5" s="197"/>
      <c r="H5" s="197"/>
      <c r="I5" s="197"/>
      <c r="J5" s="197"/>
      <c r="K5" s="197"/>
      <c r="L5" s="86">
        <v>45992</v>
      </c>
    </row>
    <row r="6" spans="1:12" ht="14.25" customHeight="1" x14ac:dyDescent="0.25">
      <c r="A6" s="60"/>
      <c r="B6" s="60"/>
      <c r="C6" s="60"/>
      <c r="D6" s="60"/>
      <c r="E6" s="60"/>
      <c r="F6" s="60"/>
      <c r="G6" s="60"/>
      <c r="H6" s="60"/>
      <c r="I6" s="60"/>
      <c r="J6" s="60"/>
      <c r="K6" s="60"/>
      <c r="L6" s="86">
        <v>46022</v>
      </c>
    </row>
    <row r="7" spans="1:12" ht="35.25" customHeight="1" x14ac:dyDescent="0.25">
      <c r="A7" s="219" t="str">
        <f>ĐCCN!$A$7</f>
        <v>- Căn cứ Hợp đồng kinh tế số 0412/HĐKT2025/TP-VIETPANEL ký ngày 04/12/2025 giữa Công ty TNHH xây dựng Việt Panel và Công ty Cổ phần Tập đoàn Thiết bị xây dựng TP về việc cho thuê thiết bị xây dựng.</v>
      </c>
      <c r="B7" s="219"/>
      <c r="C7" s="219"/>
      <c r="D7" s="219"/>
      <c r="E7" s="219"/>
      <c r="F7" s="219"/>
      <c r="G7" s="219"/>
      <c r="H7" s="219"/>
      <c r="I7" s="219"/>
      <c r="J7" s="219"/>
      <c r="K7" s="219"/>
      <c r="L7" s="86"/>
    </row>
    <row r="8" spans="1:12" ht="19.5" customHeight="1" x14ac:dyDescent="0.25">
      <c r="A8" s="6" t="s">
        <v>51</v>
      </c>
      <c r="B8" s="5" t="s">
        <v>144</v>
      </c>
      <c r="C8" s="30"/>
      <c r="D8" s="30"/>
      <c r="E8" s="30"/>
      <c r="F8" s="5"/>
      <c r="G8" s="5"/>
      <c r="H8" s="5"/>
      <c r="I8" s="5"/>
      <c r="J8" s="5"/>
      <c r="K8" s="30"/>
    </row>
    <row r="9" spans="1:12" ht="19.5" customHeight="1" x14ac:dyDescent="0.25">
      <c r="A9" s="6" t="s">
        <v>59</v>
      </c>
      <c r="B9" s="6" t="s">
        <v>145</v>
      </c>
      <c r="C9" s="30"/>
      <c r="D9" s="30"/>
      <c r="E9" s="30"/>
      <c r="F9" s="5"/>
      <c r="G9" s="5"/>
      <c r="H9" s="5"/>
      <c r="I9" s="5"/>
      <c r="J9" s="5"/>
      <c r="K9" s="30"/>
    </row>
    <row r="10" spans="1:12" ht="19.5" customHeight="1" x14ac:dyDescent="0.25">
      <c r="A10" s="6" t="s">
        <v>146</v>
      </c>
      <c r="B10" s="5"/>
      <c r="C10" s="30"/>
      <c r="D10" s="30"/>
      <c r="E10" s="30"/>
      <c r="F10" s="5"/>
      <c r="G10" s="5"/>
      <c r="H10" s="5"/>
      <c r="I10" s="5"/>
      <c r="J10" s="5"/>
      <c r="K10" s="30"/>
    </row>
    <row r="11" spans="1:12" ht="19.5" customHeight="1" x14ac:dyDescent="0.25">
      <c r="A11" s="5" t="s">
        <v>113</v>
      </c>
      <c r="B11" s="5"/>
      <c r="C11" s="30"/>
      <c r="D11" s="30"/>
      <c r="E11" s="30"/>
      <c r="F11" s="5"/>
      <c r="G11" s="5"/>
      <c r="H11" s="5"/>
      <c r="I11" s="5"/>
      <c r="J11" s="5"/>
      <c r="K11" s="30"/>
    </row>
    <row r="12" spans="1:12" ht="19.5" customHeight="1" x14ac:dyDescent="0.25">
      <c r="A12" s="7" t="str">
        <f>ĐCCN!A8</f>
        <v>BÊN THUÊ (BÊN A): CÔNG TY TNHH XÂY DỰNG VIỆT PANEL</v>
      </c>
      <c r="B12" s="7"/>
      <c r="C12" s="40"/>
      <c r="D12" s="40"/>
      <c r="E12" s="40"/>
      <c r="F12" s="7"/>
      <c r="G12" s="7"/>
      <c r="H12" s="7"/>
      <c r="I12" s="7"/>
      <c r="J12" s="7"/>
      <c r="K12" s="40"/>
    </row>
    <row r="13" spans="1:12" ht="19.5" customHeight="1" x14ac:dyDescent="0.25">
      <c r="A13" s="5" t="s">
        <v>125</v>
      </c>
      <c r="B13" s="5" t="str">
        <f>ĐCCN!$C$9</f>
        <v>Thôn Đông Phù, Xã Tiên Du, Tỉnh Bắc Ninh, Việt Nam</v>
      </c>
      <c r="C13" s="30"/>
      <c r="D13" s="30"/>
      <c r="E13" s="30"/>
      <c r="F13" s="5"/>
      <c r="G13" s="5"/>
      <c r="H13" s="5"/>
      <c r="I13" s="5"/>
      <c r="J13" s="5"/>
      <c r="K13" s="30"/>
    </row>
    <row r="14" spans="1:12" ht="19.5" customHeight="1" x14ac:dyDescent="0.25">
      <c r="A14" s="5" t="s">
        <v>5</v>
      </c>
      <c r="B14" s="5"/>
      <c r="C14" s="198" t="str">
        <f>ĐCCN!$C$10</f>
        <v>0222 6535 699</v>
      </c>
      <c r="D14" s="208"/>
      <c r="E14" s="5"/>
      <c r="F14" s="5"/>
      <c r="G14" s="5"/>
      <c r="H14" s="5"/>
      <c r="I14" s="5"/>
      <c r="J14" s="5"/>
      <c r="K14" s="30"/>
    </row>
    <row r="15" spans="1:12" ht="19.5" customHeight="1" x14ac:dyDescent="0.25">
      <c r="A15" s="5" t="s">
        <v>4</v>
      </c>
      <c r="B15" s="5"/>
      <c r="C15" s="209">
        <f>ĐCCN!$C$11</f>
        <v>616139999</v>
      </c>
      <c r="D15" s="209"/>
      <c r="E15" s="41" t="str">
        <f>ĐCCN!$E$11</f>
        <v>Tại MB Ngân hàng quân đội</v>
      </c>
      <c r="F15" s="5"/>
      <c r="G15" s="5"/>
      <c r="H15" s="5"/>
      <c r="I15" s="5"/>
      <c r="J15" s="5"/>
      <c r="K15" s="30"/>
    </row>
    <row r="16" spans="1:12" ht="19.5" customHeight="1" x14ac:dyDescent="0.25">
      <c r="A16" s="5" t="s">
        <v>6</v>
      </c>
      <c r="B16" s="6"/>
      <c r="C16" s="198" t="str">
        <f>ĐCCN!$C$12</f>
        <v>2300856941</v>
      </c>
      <c r="D16" s="198"/>
      <c r="E16" s="6"/>
      <c r="F16" s="6"/>
      <c r="G16" s="5"/>
      <c r="H16" s="5"/>
      <c r="I16" s="5"/>
      <c r="J16" s="5"/>
      <c r="K16" s="30"/>
    </row>
    <row r="17" spans="1:13" ht="19.5" customHeight="1" x14ac:dyDescent="0.25">
      <c r="A17" s="5" t="s">
        <v>7</v>
      </c>
      <c r="B17" s="5"/>
      <c r="C17" s="7" t="str">
        <f>ĐCCN!$C$13</f>
        <v>Ông Lưu Đình Cải</v>
      </c>
      <c r="D17" s="40"/>
      <c r="E17" s="5" t="str">
        <f>ĐCCN!$E$13</f>
        <v>Chức vụ: Giám đốc</v>
      </c>
      <c r="F17" s="5"/>
      <c r="G17" s="5"/>
      <c r="H17" s="5"/>
      <c r="I17" s="5"/>
      <c r="J17" s="5"/>
      <c r="K17" s="30"/>
    </row>
    <row r="18" spans="1:13" ht="19.5" customHeight="1" x14ac:dyDescent="0.25">
      <c r="A18" s="5"/>
      <c r="B18" s="5"/>
      <c r="C18" s="30"/>
      <c r="D18" s="30"/>
      <c r="E18" s="30"/>
      <c r="F18" s="5"/>
      <c r="G18" s="5"/>
      <c r="H18" s="5"/>
      <c r="I18" s="5"/>
      <c r="J18" s="5"/>
      <c r="K18" s="30"/>
    </row>
    <row r="19" spans="1:13" ht="19.5" customHeight="1" x14ac:dyDescent="0.25">
      <c r="A19" s="7" t="s">
        <v>8</v>
      </c>
      <c r="B19" s="7"/>
      <c r="C19" s="40"/>
      <c r="D19" s="40"/>
      <c r="E19" s="40"/>
      <c r="F19" s="7"/>
      <c r="G19" s="7"/>
      <c r="H19" s="7"/>
      <c r="I19" s="7"/>
      <c r="J19" s="7"/>
      <c r="K19" s="40"/>
    </row>
    <row r="20" spans="1:13" ht="19.5" customHeight="1" x14ac:dyDescent="0.25">
      <c r="A20" s="5" t="s">
        <v>115</v>
      </c>
      <c r="B20" s="5"/>
      <c r="C20" s="30"/>
      <c r="D20" s="30"/>
      <c r="E20" s="30"/>
      <c r="F20" s="5"/>
      <c r="G20" s="5"/>
      <c r="H20" s="5"/>
      <c r="I20" s="5"/>
      <c r="J20" s="5"/>
      <c r="K20" s="30"/>
    </row>
    <row r="21" spans="1:13" ht="19.5" customHeight="1" x14ac:dyDescent="0.25">
      <c r="A21" s="5" t="s">
        <v>5</v>
      </c>
      <c r="B21" s="5"/>
      <c r="C21" s="6" t="s">
        <v>9</v>
      </c>
      <c r="D21" s="24"/>
      <c r="E21" s="30"/>
      <c r="F21" s="5"/>
      <c r="G21" s="5"/>
      <c r="H21" s="5"/>
      <c r="I21" s="5"/>
      <c r="J21" s="5"/>
      <c r="K21" s="30"/>
    </row>
    <row r="22" spans="1:13" ht="19.5" customHeight="1" x14ac:dyDescent="0.25">
      <c r="A22" s="5" t="s">
        <v>10</v>
      </c>
      <c r="B22" s="5"/>
      <c r="C22" s="32" t="str">
        <f>ĐCCN!C18</f>
        <v>8331100096008</v>
      </c>
      <c r="D22" s="17"/>
      <c r="E22" s="201" t="str">
        <f>ĐCCN!E18</f>
        <v>Tại Ngân hàng Thương mại cổ phần Quân đội - Chi nhánh Hoàng Quốc Việt</v>
      </c>
      <c r="F22" s="201"/>
      <c r="G22" s="201"/>
      <c r="H22" s="201"/>
      <c r="I22" s="201"/>
      <c r="J22" s="201"/>
      <c r="K22" s="201"/>
    </row>
    <row r="23" spans="1:13" ht="19.5" customHeight="1" x14ac:dyDescent="0.25">
      <c r="A23" s="5" t="s">
        <v>6</v>
      </c>
      <c r="B23" s="5"/>
      <c r="C23" s="6" t="s">
        <v>19</v>
      </c>
      <c r="D23" s="24"/>
      <c r="E23" s="41"/>
      <c r="F23" s="5"/>
      <c r="G23" s="5"/>
      <c r="H23" s="5"/>
      <c r="I23" s="5"/>
      <c r="J23" s="5"/>
      <c r="K23" s="30"/>
    </row>
    <row r="24" spans="1:13" ht="19.5" customHeight="1" x14ac:dyDescent="0.25">
      <c r="A24" s="5" t="s">
        <v>7</v>
      </c>
      <c r="B24" s="5"/>
      <c r="C24" s="7" t="s">
        <v>116</v>
      </c>
      <c r="D24" s="40"/>
      <c r="E24" s="41" t="s">
        <v>117</v>
      </c>
      <c r="F24" s="5"/>
      <c r="G24" s="5"/>
      <c r="H24" s="5"/>
      <c r="I24" s="5"/>
      <c r="J24" s="5"/>
      <c r="K24" s="30"/>
    </row>
    <row r="25" spans="1:13" ht="16.5" x14ac:dyDescent="0.25">
      <c r="A25" s="5"/>
      <c r="B25" s="5"/>
      <c r="C25" s="30"/>
      <c r="D25" s="30"/>
      <c r="E25" s="30"/>
      <c r="F25" s="5"/>
      <c r="G25" s="5"/>
      <c r="H25" s="5"/>
      <c r="I25" s="5"/>
      <c r="J25" s="5"/>
      <c r="K25" s="30"/>
    </row>
    <row r="26" spans="1:13" ht="17.25" customHeight="1" x14ac:dyDescent="0.25">
      <c r="A26" s="5" t="s">
        <v>155</v>
      </c>
      <c r="B26" s="5"/>
      <c r="C26" s="30"/>
      <c r="D26" s="30"/>
      <c r="E26" s="30"/>
      <c r="F26" s="5"/>
      <c r="G26" s="5"/>
      <c r="H26" s="5"/>
      <c r="I26" s="5"/>
      <c r="J26" s="5"/>
      <c r="K26" s="30"/>
    </row>
    <row r="27" spans="1:13" x14ac:dyDescent="0.25">
      <c r="M27" s="93"/>
    </row>
    <row r="28" spans="1:13" ht="82.5" customHeight="1" x14ac:dyDescent="0.25">
      <c r="A28" s="3" t="s">
        <v>12</v>
      </c>
      <c r="B28" s="3" t="s">
        <v>13</v>
      </c>
      <c r="C28" s="3" t="s">
        <v>23</v>
      </c>
      <c r="D28" s="3" t="s">
        <v>61</v>
      </c>
      <c r="E28" s="3" t="s">
        <v>14</v>
      </c>
      <c r="F28" s="3" t="s">
        <v>15</v>
      </c>
      <c r="G28" s="3" t="s">
        <v>16</v>
      </c>
      <c r="H28" s="3" t="s">
        <v>17</v>
      </c>
      <c r="I28" s="3" t="s">
        <v>26</v>
      </c>
      <c r="J28" s="59" t="s">
        <v>25</v>
      </c>
      <c r="K28" s="59" t="s">
        <v>18</v>
      </c>
      <c r="M28" s="93"/>
    </row>
    <row r="29" spans="1:13" ht="36.75" customHeight="1" x14ac:dyDescent="0.25">
      <c r="A29" s="3" t="str">
        <f>ROMAN(1,0)</f>
        <v>I</v>
      </c>
      <c r="B29" s="21" t="s">
        <v>55</v>
      </c>
      <c r="C29" s="3"/>
      <c r="D29" s="3"/>
      <c r="E29" s="3"/>
      <c r="F29" s="3"/>
      <c r="G29" s="3"/>
      <c r="H29" s="3"/>
      <c r="I29" s="3"/>
      <c r="J29" s="69">
        <f>SUBTOTAL(9,J30:J99)</f>
        <v>28488912</v>
      </c>
      <c r="K29" s="42"/>
      <c r="M29" s="72">
        <f>+J33+J37+J40+J52+J59+J66+J83</f>
        <v>25198912</v>
      </c>
    </row>
    <row r="30" spans="1:13" ht="39.75" customHeight="1" x14ac:dyDescent="0.25">
      <c r="A30" s="229">
        <v>1</v>
      </c>
      <c r="B30" s="77" t="s">
        <v>148</v>
      </c>
      <c r="C30" s="42" t="s">
        <v>49</v>
      </c>
      <c r="D30" s="44">
        <v>46015</v>
      </c>
      <c r="E30" s="44">
        <v>46016</v>
      </c>
      <c r="F30" s="78"/>
      <c r="G30" s="68">
        <v>1300</v>
      </c>
      <c r="H30" s="4">
        <f>E30-D30+1</f>
        <v>2</v>
      </c>
      <c r="I30" s="4">
        <v>85</v>
      </c>
      <c r="J30" s="94">
        <f>+I30*H30*G30</f>
        <v>221000</v>
      </c>
      <c r="K30" s="44">
        <v>46015</v>
      </c>
    </row>
    <row r="31" spans="1:13" ht="39.75" customHeight="1" x14ac:dyDescent="0.25">
      <c r="A31" s="229"/>
      <c r="B31" s="77" t="s">
        <v>148</v>
      </c>
      <c r="C31" s="42" t="s">
        <v>49</v>
      </c>
      <c r="D31" s="44">
        <v>46016</v>
      </c>
      <c r="E31" s="44">
        <v>46016</v>
      </c>
      <c r="F31" s="78"/>
      <c r="G31" s="68">
        <v>1600</v>
      </c>
      <c r="H31" s="4">
        <f t="shared" ref="H31:H32" si="0">E31-D31+1</f>
        <v>1</v>
      </c>
      <c r="I31" s="4">
        <v>85</v>
      </c>
      <c r="J31" s="94">
        <f t="shared" ref="J31:J32" si="1">+I31*H31*G31</f>
        <v>136000</v>
      </c>
      <c r="K31" s="44">
        <v>46016</v>
      </c>
    </row>
    <row r="32" spans="1:13" ht="39.75" customHeight="1" x14ac:dyDescent="0.25">
      <c r="A32" s="229"/>
      <c r="B32" s="77" t="s">
        <v>148</v>
      </c>
      <c r="C32" s="42" t="s">
        <v>49</v>
      </c>
      <c r="D32" s="44">
        <v>46016</v>
      </c>
      <c r="E32" s="44">
        <v>46016</v>
      </c>
      <c r="F32" s="78"/>
      <c r="G32" s="68">
        <v>1600</v>
      </c>
      <c r="H32" s="4">
        <f t="shared" si="0"/>
        <v>1</v>
      </c>
      <c r="I32" s="4">
        <v>85</v>
      </c>
      <c r="J32" s="94">
        <f t="shared" si="1"/>
        <v>136000</v>
      </c>
      <c r="K32" s="44">
        <v>46016</v>
      </c>
    </row>
    <row r="33" spans="1:14" ht="39.75" customHeight="1" x14ac:dyDescent="0.25">
      <c r="A33" s="229"/>
      <c r="B33" s="226" t="s">
        <v>20</v>
      </c>
      <c r="C33" s="227"/>
      <c r="D33" s="227"/>
      <c r="E33" s="227"/>
      <c r="F33" s="228"/>
      <c r="G33" s="69">
        <f>SUM(G30:G32)</f>
        <v>4500</v>
      </c>
      <c r="H33" s="8"/>
      <c r="I33" s="4"/>
      <c r="J33" s="69">
        <f>+SUBTOTAL(109,J30:J32)</f>
        <v>493000</v>
      </c>
      <c r="K33" s="95"/>
      <c r="N33" s="93"/>
    </row>
    <row r="34" spans="1:14" ht="39.75" customHeight="1" x14ac:dyDescent="0.25">
      <c r="A34" s="224">
        <v>2</v>
      </c>
      <c r="B34" s="77" t="s">
        <v>122</v>
      </c>
      <c r="C34" s="42" t="s">
        <v>49</v>
      </c>
      <c r="D34" s="44">
        <v>46011</v>
      </c>
      <c r="E34" s="44">
        <v>46016</v>
      </c>
      <c r="F34" s="78"/>
      <c r="G34" s="68">
        <v>700</v>
      </c>
      <c r="H34" s="4">
        <f t="shared" ref="H34:H35" si="2">E34-D34+1</f>
        <v>6</v>
      </c>
      <c r="I34" s="4">
        <v>125</v>
      </c>
      <c r="J34" s="94">
        <f t="shared" ref="J34:J39" si="3">+I34*H34*G34</f>
        <v>525000</v>
      </c>
      <c r="K34" s="44">
        <v>46011</v>
      </c>
      <c r="N34" s="93"/>
    </row>
    <row r="35" spans="1:14" ht="39.75" customHeight="1" x14ac:dyDescent="0.25">
      <c r="A35" s="230"/>
      <c r="B35" s="77" t="s">
        <v>122</v>
      </c>
      <c r="C35" s="42" t="s">
        <v>49</v>
      </c>
      <c r="D35" s="44">
        <v>46016</v>
      </c>
      <c r="E35" s="44">
        <v>46016</v>
      </c>
      <c r="F35" s="79"/>
      <c r="G35" s="68">
        <v>1600</v>
      </c>
      <c r="H35" s="4">
        <f t="shared" si="2"/>
        <v>1</v>
      </c>
      <c r="I35" s="4">
        <v>125</v>
      </c>
      <c r="J35" s="94">
        <f t="shared" si="3"/>
        <v>200000</v>
      </c>
      <c r="K35" s="44">
        <v>46016</v>
      </c>
      <c r="N35" s="93"/>
    </row>
    <row r="36" spans="1:14" ht="39.75" customHeight="1" x14ac:dyDescent="0.25">
      <c r="A36" s="230"/>
      <c r="B36" s="77" t="s">
        <v>122</v>
      </c>
      <c r="C36" s="42" t="s">
        <v>49</v>
      </c>
      <c r="D36" s="96">
        <v>46016</v>
      </c>
      <c r="E36" s="44">
        <v>46016</v>
      </c>
      <c r="F36" s="79"/>
      <c r="G36" s="68">
        <v>1600</v>
      </c>
      <c r="H36" s="4">
        <f t="shared" ref="H36" si="4">E36-D36+1</f>
        <v>1</v>
      </c>
      <c r="I36" s="4">
        <v>125</v>
      </c>
      <c r="J36" s="94">
        <f t="shared" si="3"/>
        <v>200000</v>
      </c>
      <c r="K36" s="96">
        <v>46016</v>
      </c>
      <c r="N36" s="93"/>
    </row>
    <row r="37" spans="1:14" ht="39.75" customHeight="1" x14ac:dyDescent="0.25">
      <c r="A37" s="225"/>
      <c r="B37" s="226" t="s">
        <v>20</v>
      </c>
      <c r="C37" s="227"/>
      <c r="D37" s="227"/>
      <c r="E37" s="227"/>
      <c r="F37" s="228"/>
      <c r="G37" s="69">
        <f>SUM(G34:G36)</f>
        <v>3900</v>
      </c>
      <c r="H37" s="8"/>
      <c r="I37" s="4"/>
      <c r="J37" s="69">
        <f>+SUBTOTAL(109,J34:J36)</f>
        <v>925000</v>
      </c>
      <c r="K37" s="76"/>
    </row>
    <row r="38" spans="1:14" ht="39.75" customHeight="1" x14ac:dyDescent="0.25">
      <c r="A38" s="224">
        <v>3</v>
      </c>
      <c r="B38" s="77" t="s">
        <v>118</v>
      </c>
      <c r="C38" s="42" t="s">
        <v>49</v>
      </c>
      <c r="D38" s="44">
        <v>46011</v>
      </c>
      <c r="E38" s="44">
        <v>46016</v>
      </c>
      <c r="F38" s="78"/>
      <c r="G38" s="68">
        <v>700</v>
      </c>
      <c r="H38" s="4">
        <f t="shared" ref="H38:H39" si="5">E38-D38+1</f>
        <v>6</v>
      </c>
      <c r="I38" s="4">
        <v>159</v>
      </c>
      <c r="J38" s="94">
        <f t="shared" si="3"/>
        <v>667800</v>
      </c>
      <c r="K38" s="44">
        <v>46011</v>
      </c>
      <c r="L38" s="85" t="s">
        <v>127</v>
      </c>
    </row>
    <row r="39" spans="1:14" ht="39.75" customHeight="1" x14ac:dyDescent="0.25">
      <c r="A39" s="230"/>
      <c r="B39" s="77" t="s">
        <v>118</v>
      </c>
      <c r="C39" s="42" t="s">
        <v>49</v>
      </c>
      <c r="D39" s="44">
        <v>46015</v>
      </c>
      <c r="E39" s="44">
        <v>46016</v>
      </c>
      <c r="F39" s="78"/>
      <c r="G39" s="68">
        <v>400</v>
      </c>
      <c r="H39" s="4">
        <f t="shared" si="5"/>
        <v>2</v>
      </c>
      <c r="I39" s="4">
        <v>159</v>
      </c>
      <c r="J39" s="94">
        <f t="shared" si="3"/>
        <v>127200</v>
      </c>
      <c r="K39" s="44">
        <v>46015</v>
      </c>
    </row>
    <row r="40" spans="1:14" ht="39.75" customHeight="1" x14ac:dyDescent="0.25">
      <c r="A40" s="225"/>
      <c r="B40" s="226" t="s">
        <v>20</v>
      </c>
      <c r="C40" s="227"/>
      <c r="D40" s="227"/>
      <c r="E40" s="227"/>
      <c r="F40" s="228"/>
      <c r="G40" s="69">
        <f>SUM(G38:G39)</f>
        <v>1100</v>
      </c>
      <c r="H40" s="8"/>
      <c r="I40" s="4"/>
      <c r="J40" s="69">
        <f>+SUBTOTAL(109,J38:J39)</f>
        <v>795000</v>
      </c>
      <c r="K40" s="76"/>
    </row>
    <row r="41" spans="1:14" ht="39.75" customHeight="1" x14ac:dyDescent="0.25">
      <c r="A41" s="224">
        <v>4</v>
      </c>
      <c r="B41" s="77" t="s">
        <v>50</v>
      </c>
      <c r="C41" s="42" t="s">
        <v>49</v>
      </c>
      <c r="D41" s="44">
        <v>46012</v>
      </c>
      <c r="E41" s="44">
        <v>46016</v>
      </c>
      <c r="F41" s="78"/>
      <c r="G41" s="68">
        <v>1000</v>
      </c>
      <c r="H41" s="4">
        <f>E41-D41+1</f>
        <v>5</v>
      </c>
      <c r="I41" s="4">
        <v>185</v>
      </c>
      <c r="J41" s="94">
        <f t="shared" ref="J41:J51" si="6">+I41*H41*G41</f>
        <v>925000</v>
      </c>
      <c r="K41" s="44">
        <v>46012</v>
      </c>
      <c r="L41" s="85" t="s">
        <v>128</v>
      </c>
    </row>
    <row r="42" spans="1:14" ht="39.75" customHeight="1" x14ac:dyDescent="0.25">
      <c r="A42" s="230"/>
      <c r="B42" s="77" t="s">
        <v>50</v>
      </c>
      <c r="C42" s="42" t="s">
        <v>49</v>
      </c>
      <c r="D42" s="44">
        <v>46013</v>
      </c>
      <c r="E42" s="44">
        <v>46016</v>
      </c>
      <c r="F42" s="78"/>
      <c r="G42" s="68">
        <v>2200</v>
      </c>
      <c r="H42" s="4">
        <f t="shared" ref="H42:H51" si="7">E42-D42+1</f>
        <v>4</v>
      </c>
      <c r="I42" s="4">
        <v>185</v>
      </c>
      <c r="J42" s="94">
        <f t="shared" si="6"/>
        <v>1628000</v>
      </c>
      <c r="K42" s="44">
        <v>46013</v>
      </c>
    </row>
    <row r="43" spans="1:14" ht="39.75" customHeight="1" x14ac:dyDescent="0.25">
      <c r="A43" s="230"/>
      <c r="B43" s="77" t="s">
        <v>50</v>
      </c>
      <c r="C43" s="42" t="s">
        <v>49</v>
      </c>
      <c r="D43" s="44">
        <v>46013</v>
      </c>
      <c r="E43" s="44">
        <v>46016</v>
      </c>
      <c r="F43" s="78"/>
      <c r="G43" s="68">
        <v>1100</v>
      </c>
      <c r="H43" s="4">
        <f t="shared" si="7"/>
        <v>4</v>
      </c>
      <c r="I43" s="4">
        <v>185</v>
      </c>
      <c r="J43" s="94">
        <f t="shared" si="6"/>
        <v>814000</v>
      </c>
      <c r="K43" s="44">
        <v>46013</v>
      </c>
    </row>
    <row r="44" spans="1:14" ht="39.75" customHeight="1" x14ac:dyDescent="0.25">
      <c r="A44" s="230"/>
      <c r="B44" s="77" t="s">
        <v>50</v>
      </c>
      <c r="C44" s="42" t="s">
        <v>49</v>
      </c>
      <c r="D44" s="44">
        <v>46013</v>
      </c>
      <c r="E44" s="44">
        <v>46016</v>
      </c>
      <c r="F44" s="78"/>
      <c r="G44" s="68">
        <v>2200</v>
      </c>
      <c r="H44" s="4">
        <f t="shared" si="7"/>
        <v>4</v>
      </c>
      <c r="I44" s="4">
        <v>185</v>
      </c>
      <c r="J44" s="94">
        <f t="shared" si="6"/>
        <v>1628000</v>
      </c>
      <c r="K44" s="44">
        <v>46013</v>
      </c>
    </row>
    <row r="45" spans="1:14" ht="39.75" customHeight="1" x14ac:dyDescent="0.25">
      <c r="A45" s="230"/>
      <c r="B45" s="77" t="s">
        <v>50</v>
      </c>
      <c r="C45" s="42" t="s">
        <v>49</v>
      </c>
      <c r="D45" s="44">
        <v>46014</v>
      </c>
      <c r="E45" s="44">
        <v>46016</v>
      </c>
      <c r="F45" s="78"/>
      <c r="G45" s="68">
        <v>1400</v>
      </c>
      <c r="H45" s="4">
        <f t="shared" si="7"/>
        <v>3</v>
      </c>
      <c r="I45" s="4">
        <v>185</v>
      </c>
      <c r="J45" s="94">
        <f t="shared" si="6"/>
        <v>777000</v>
      </c>
      <c r="K45" s="44">
        <v>46014</v>
      </c>
    </row>
    <row r="46" spans="1:14" ht="39.75" customHeight="1" x14ac:dyDescent="0.25">
      <c r="A46" s="230"/>
      <c r="B46" s="77" t="s">
        <v>50</v>
      </c>
      <c r="C46" s="42" t="s">
        <v>49</v>
      </c>
      <c r="D46" s="44">
        <v>46015</v>
      </c>
      <c r="E46" s="44">
        <v>46016</v>
      </c>
      <c r="F46" s="78"/>
      <c r="G46" s="68">
        <v>1000</v>
      </c>
      <c r="H46" s="4">
        <f t="shared" si="7"/>
        <v>2</v>
      </c>
      <c r="I46" s="4">
        <v>185</v>
      </c>
      <c r="J46" s="94">
        <f t="shared" si="6"/>
        <v>370000</v>
      </c>
      <c r="K46" s="44">
        <v>46015</v>
      </c>
    </row>
    <row r="47" spans="1:14" ht="39.75" customHeight="1" x14ac:dyDescent="0.25">
      <c r="A47" s="230"/>
      <c r="B47" s="77" t="s">
        <v>50</v>
      </c>
      <c r="C47" s="42" t="s">
        <v>49</v>
      </c>
      <c r="D47" s="44">
        <v>46015</v>
      </c>
      <c r="E47" s="44">
        <v>46016</v>
      </c>
      <c r="F47" s="78"/>
      <c r="G47" s="68">
        <v>1200</v>
      </c>
      <c r="H47" s="4">
        <f t="shared" si="7"/>
        <v>2</v>
      </c>
      <c r="I47" s="4">
        <v>185</v>
      </c>
      <c r="J47" s="94">
        <f t="shared" si="6"/>
        <v>444000</v>
      </c>
      <c r="K47" s="44">
        <v>46015</v>
      </c>
    </row>
    <row r="48" spans="1:14" ht="39.75" customHeight="1" x14ac:dyDescent="0.25">
      <c r="A48" s="230"/>
      <c r="B48" s="77" t="s">
        <v>50</v>
      </c>
      <c r="C48" s="42" t="s">
        <v>49</v>
      </c>
      <c r="D48" s="44">
        <v>46015</v>
      </c>
      <c r="E48" s="44">
        <v>46016</v>
      </c>
      <c r="F48" s="78"/>
      <c r="G48" s="68">
        <v>500</v>
      </c>
      <c r="H48" s="4">
        <f t="shared" si="7"/>
        <v>2</v>
      </c>
      <c r="I48" s="4">
        <v>185</v>
      </c>
      <c r="J48" s="94">
        <f t="shared" si="6"/>
        <v>185000</v>
      </c>
      <c r="K48" s="44">
        <v>46015</v>
      </c>
    </row>
    <row r="49" spans="1:11" ht="39.75" customHeight="1" x14ac:dyDescent="0.25">
      <c r="A49" s="230"/>
      <c r="B49" s="77" t="s">
        <v>50</v>
      </c>
      <c r="C49" s="42" t="s">
        <v>49</v>
      </c>
      <c r="D49" s="44">
        <v>46016</v>
      </c>
      <c r="E49" s="44">
        <v>46016</v>
      </c>
      <c r="F49" s="78"/>
      <c r="G49" s="68">
        <v>1800</v>
      </c>
      <c r="H49" s="4">
        <f t="shared" si="7"/>
        <v>1</v>
      </c>
      <c r="I49" s="4">
        <v>185</v>
      </c>
      <c r="J49" s="94">
        <f t="shared" si="6"/>
        <v>333000</v>
      </c>
      <c r="K49" s="44">
        <v>46016</v>
      </c>
    </row>
    <row r="50" spans="1:11" ht="39.75" customHeight="1" x14ac:dyDescent="0.25">
      <c r="A50" s="230"/>
      <c r="B50" s="77" t="s">
        <v>50</v>
      </c>
      <c r="C50" s="42" t="s">
        <v>49</v>
      </c>
      <c r="D50" s="44">
        <v>46016</v>
      </c>
      <c r="E50" s="44">
        <v>46016</v>
      </c>
      <c r="F50" s="78"/>
      <c r="G50" s="68">
        <v>1200</v>
      </c>
      <c r="H50" s="4">
        <f t="shared" si="7"/>
        <v>1</v>
      </c>
      <c r="I50" s="4">
        <v>185</v>
      </c>
      <c r="J50" s="94">
        <f t="shared" si="6"/>
        <v>222000</v>
      </c>
      <c r="K50" s="44">
        <v>46016</v>
      </c>
    </row>
    <row r="51" spans="1:11" ht="39.75" customHeight="1" x14ac:dyDescent="0.25">
      <c r="A51" s="230"/>
      <c r="B51" s="77" t="s">
        <v>50</v>
      </c>
      <c r="C51" s="42" t="s">
        <v>49</v>
      </c>
      <c r="D51" s="44">
        <v>46016</v>
      </c>
      <c r="E51" s="44">
        <v>46016</v>
      </c>
      <c r="F51" s="78"/>
      <c r="G51" s="68">
        <v>2576</v>
      </c>
      <c r="H51" s="4">
        <f t="shared" si="7"/>
        <v>1</v>
      </c>
      <c r="I51" s="4">
        <v>185</v>
      </c>
      <c r="J51" s="94">
        <f t="shared" si="6"/>
        <v>476560</v>
      </c>
      <c r="K51" s="44">
        <v>46016</v>
      </c>
    </row>
    <row r="52" spans="1:11" ht="39.75" customHeight="1" x14ac:dyDescent="0.25">
      <c r="A52" s="225"/>
      <c r="B52" s="211" t="s">
        <v>20</v>
      </c>
      <c r="C52" s="211"/>
      <c r="D52" s="211"/>
      <c r="E52" s="211"/>
      <c r="F52" s="211"/>
      <c r="G52" s="69">
        <f>SUM(G41:G51)</f>
        <v>16176</v>
      </c>
      <c r="H52" s="8"/>
      <c r="I52" s="4"/>
      <c r="J52" s="69">
        <f>+SUBTOTAL(109,J41:J51)</f>
        <v>7802560</v>
      </c>
      <c r="K52" s="95"/>
    </row>
    <row r="53" spans="1:11" ht="39.75" customHeight="1" x14ac:dyDescent="0.25">
      <c r="A53" s="224">
        <v>5</v>
      </c>
      <c r="B53" s="77" t="s">
        <v>126</v>
      </c>
      <c r="C53" s="42" t="s">
        <v>24</v>
      </c>
      <c r="D53" s="44">
        <v>46011</v>
      </c>
      <c r="E53" s="44">
        <v>46016</v>
      </c>
      <c r="F53" s="78"/>
      <c r="G53" s="68">
        <v>500</v>
      </c>
      <c r="H53" s="4">
        <f t="shared" ref="H53:H57" si="8">E53-D53+1</f>
        <v>6</v>
      </c>
      <c r="I53" s="4">
        <v>43</v>
      </c>
      <c r="J53" s="94">
        <f t="shared" ref="J53:J58" si="9">+I53*H53*G53</f>
        <v>129000</v>
      </c>
      <c r="K53" s="44">
        <v>46011</v>
      </c>
    </row>
    <row r="54" spans="1:11" ht="39.75" customHeight="1" x14ac:dyDescent="0.25">
      <c r="A54" s="230"/>
      <c r="B54" s="77" t="s">
        <v>126</v>
      </c>
      <c r="C54" s="42" t="s">
        <v>24</v>
      </c>
      <c r="D54" s="44">
        <v>46012</v>
      </c>
      <c r="E54" s="44">
        <v>46016</v>
      </c>
      <c r="F54" s="79"/>
      <c r="G54" s="68">
        <v>3000</v>
      </c>
      <c r="H54" s="4">
        <f t="shared" si="8"/>
        <v>5</v>
      </c>
      <c r="I54" s="4">
        <v>43</v>
      </c>
      <c r="J54" s="94">
        <f t="shared" si="9"/>
        <v>645000</v>
      </c>
      <c r="K54" s="44">
        <v>46012</v>
      </c>
    </row>
    <row r="55" spans="1:11" ht="39.75" customHeight="1" x14ac:dyDescent="0.25">
      <c r="A55" s="230"/>
      <c r="B55" s="77" t="s">
        <v>126</v>
      </c>
      <c r="C55" s="42" t="s">
        <v>24</v>
      </c>
      <c r="D55" s="44">
        <v>46013</v>
      </c>
      <c r="E55" s="44">
        <v>46016</v>
      </c>
      <c r="F55" s="79"/>
      <c r="G55" s="68">
        <v>3000</v>
      </c>
      <c r="H55" s="4">
        <f t="shared" si="8"/>
        <v>4</v>
      </c>
      <c r="I55" s="4">
        <v>43</v>
      </c>
      <c r="J55" s="94">
        <f t="shared" si="9"/>
        <v>516000</v>
      </c>
      <c r="K55" s="44">
        <v>46013</v>
      </c>
    </row>
    <row r="56" spans="1:11" ht="39.75" customHeight="1" x14ac:dyDescent="0.25">
      <c r="A56" s="230"/>
      <c r="B56" s="77" t="s">
        <v>126</v>
      </c>
      <c r="C56" s="42" t="s">
        <v>24</v>
      </c>
      <c r="D56" s="44">
        <v>46015</v>
      </c>
      <c r="E56" s="44">
        <v>46016</v>
      </c>
      <c r="F56" s="79"/>
      <c r="G56" s="68">
        <v>6000</v>
      </c>
      <c r="H56" s="4">
        <f t="shared" si="8"/>
        <v>2</v>
      </c>
      <c r="I56" s="4">
        <v>43</v>
      </c>
      <c r="J56" s="94">
        <f t="shared" si="9"/>
        <v>516000</v>
      </c>
      <c r="K56" s="44">
        <v>46015</v>
      </c>
    </row>
    <row r="57" spans="1:11" ht="39.75" customHeight="1" x14ac:dyDescent="0.25">
      <c r="A57" s="230"/>
      <c r="B57" s="77" t="s">
        <v>126</v>
      </c>
      <c r="C57" s="42" t="s">
        <v>24</v>
      </c>
      <c r="D57" s="96">
        <v>46016</v>
      </c>
      <c r="E57" s="44">
        <v>46016</v>
      </c>
      <c r="F57" s="79"/>
      <c r="G57" s="68">
        <v>2000</v>
      </c>
      <c r="H57" s="4">
        <f t="shared" si="8"/>
        <v>1</v>
      </c>
      <c r="I57" s="4">
        <v>43</v>
      </c>
      <c r="J57" s="94">
        <f t="shared" si="9"/>
        <v>86000</v>
      </c>
      <c r="K57" s="96">
        <v>46016</v>
      </c>
    </row>
    <row r="58" spans="1:11" ht="39.75" customHeight="1" x14ac:dyDescent="0.25">
      <c r="A58" s="230"/>
      <c r="B58" s="77" t="s">
        <v>126</v>
      </c>
      <c r="C58" s="42" t="s">
        <v>24</v>
      </c>
      <c r="D58" s="96">
        <v>46016</v>
      </c>
      <c r="E58" s="44">
        <v>46016</v>
      </c>
      <c r="F58" s="79"/>
      <c r="G58" s="70">
        <v>2000</v>
      </c>
      <c r="H58" s="4">
        <f t="shared" ref="H58" si="10">E58-D58+1</f>
        <v>1</v>
      </c>
      <c r="I58" s="4">
        <v>43</v>
      </c>
      <c r="J58" s="94">
        <f t="shared" si="9"/>
        <v>86000</v>
      </c>
      <c r="K58" s="96">
        <v>46016</v>
      </c>
    </row>
    <row r="59" spans="1:11" ht="39.75" customHeight="1" x14ac:dyDescent="0.25">
      <c r="A59" s="225"/>
      <c r="B59" s="226" t="s">
        <v>20</v>
      </c>
      <c r="C59" s="227"/>
      <c r="D59" s="227"/>
      <c r="E59" s="227"/>
      <c r="F59" s="228"/>
      <c r="G59" s="69">
        <f>SUM(G53:G58)</f>
        <v>16500</v>
      </c>
      <c r="H59" s="8"/>
      <c r="I59" s="4"/>
      <c r="J59" s="69">
        <f>+SUBTOTAL(109,J53:J58)</f>
        <v>1978000</v>
      </c>
      <c r="K59" s="95"/>
    </row>
    <row r="60" spans="1:11" ht="39.75" customHeight="1" x14ac:dyDescent="0.25">
      <c r="A60" s="224">
        <v>6</v>
      </c>
      <c r="B60" s="77" t="s">
        <v>149</v>
      </c>
      <c r="C60" s="42" t="s">
        <v>24</v>
      </c>
      <c r="D60" s="44">
        <v>46011</v>
      </c>
      <c r="E60" s="44">
        <v>46016</v>
      </c>
      <c r="F60" s="78"/>
      <c r="G60" s="68">
        <v>400</v>
      </c>
      <c r="H60" s="4">
        <f t="shared" ref="H60:H61" si="11">E60-D60+1</f>
        <v>6</v>
      </c>
      <c r="I60" s="4">
        <v>55</v>
      </c>
      <c r="J60" s="94">
        <f t="shared" ref="J60:J65" si="12">+I60*H60*G60</f>
        <v>132000</v>
      </c>
      <c r="K60" s="44">
        <v>46011</v>
      </c>
    </row>
    <row r="61" spans="1:11" ht="39.75" customHeight="1" x14ac:dyDescent="0.25">
      <c r="A61" s="230"/>
      <c r="B61" s="77" t="s">
        <v>149</v>
      </c>
      <c r="C61" s="42" t="s">
        <v>24</v>
      </c>
      <c r="D61" s="44">
        <v>46012</v>
      </c>
      <c r="E61" s="44">
        <v>46016</v>
      </c>
      <c r="F61" s="79"/>
      <c r="G61" s="68">
        <v>1200</v>
      </c>
      <c r="H61" s="4">
        <f t="shared" si="11"/>
        <v>5</v>
      </c>
      <c r="I61" s="4">
        <v>55</v>
      </c>
      <c r="J61" s="94">
        <f t="shared" si="12"/>
        <v>330000</v>
      </c>
      <c r="K61" s="44">
        <v>46012</v>
      </c>
    </row>
    <row r="62" spans="1:11" ht="39.75" customHeight="1" x14ac:dyDescent="0.25">
      <c r="A62" s="230"/>
      <c r="B62" s="77" t="s">
        <v>149</v>
      </c>
      <c r="C62" s="42" t="s">
        <v>24</v>
      </c>
      <c r="D62" s="96">
        <v>46013</v>
      </c>
      <c r="E62" s="44">
        <v>46016</v>
      </c>
      <c r="F62" s="79"/>
      <c r="G62" s="68">
        <v>800</v>
      </c>
      <c r="H62" s="4">
        <f t="shared" ref="H62" si="13">E62-D62+1</f>
        <v>4</v>
      </c>
      <c r="I62" s="4">
        <v>55</v>
      </c>
      <c r="J62" s="94">
        <f t="shared" si="12"/>
        <v>176000</v>
      </c>
      <c r="K62" s="96">
        <v>46013</v>
      </c>
    </row>
    <row r="63" spans="1:11" ht="39.75" customHeight="1" x14ac:dyDescent="0.25">
      <c r="A63" s="230"/>
      <c r="B63" s="77" t="s">
        <v>149</v>
      </c>
      <c r="C63" s="42" t="s">
        <v>24</v>
      </c>
      <c r="D63" s="96">
        <v>46015</v>
      </c>
      <c r="E63" s="44">
        <v>46016</v>
      </c>
      <c r="F63" s="79"/>
      <c r="G63" s="70">
        <v>4800</v>
      </c>
      <c r="H63" s="4">
        <f t="shared" ref="H63:H65" si="14">E63-D63+1</f>
        <v>2</v>
      </c>
      <c r="I63" s="4">
        <v>55</v>
      </c>
      <c r="J63" s="94">
        <f t="shared" ref="J63:J64" si="15">+I63*H63*G63</f>
        <v>528000</v>
      </c>
      <c r="K63" s="96">
        <v>46015</v>
      </c>
    </row>
    <row r="64" spans="1:11" ht="39.75" customHeight="1" x14ac:dyDescent="0.25">
      <c r="A64" s="230"/>
      <c r="B64" s="77" t="s">
        <v>149</v>
      </c>
      <c r="C64" s="42" t="s">
        <v>24</v>
      </c>
      <c r="D64" s="44">
        <v>46015</v>
      </c>
      <c r="E64" s="44">
        <v>46016</v>
      </c>
      <c r="F64" s="78"/>
      <c r="G64" s="68">
        <v>3600</v>
      </c>
      <c r="H64" s="4">
        <f t="shared" si="14"/>
        <v>2</v>
      </c>
      <c r="I64" s="4">
        <v>55</v>
      </c>
      <c r="J64" s="94">
        <f t="shared" si="15"/>
        <v>396000</v>
      </c>
      <c r="K64" s="44">
        <v>46015</v>
      </c>
    </row>
    <row r="65" spans="1:11" ht="39.75" customHeight="1" x14ac:dyDescent="0.25">
      <c r="A65" s="230"/>
      <c r="B65" s="77" t="s">
        <v>149</v>
      </c>
      <c r="C65" s="42" t="s">
        <v>24</v>
      </c>
      <c r="D65" s="96">
        <v>46016</v>
      </c>
      <c r="E65" s="44">
        <v>46016</v>
      </c>
      <c r="F65" s="78"/>
      <c r="G65" s="68">
        <v>360</v>
      </c>
      <c r="H65" s="4">
        <f t="shared" si="14"/>
        <v>1</v>
      </c>
      <c r="I65" s="4">
        <v>55</v>
      </c>
      <c r="J65" s="94">
        <f t="shared" si="12"/>
        <v>19800</v>
      </c>
      <c r="K65" s="96">
        <v>46016</v>
      </c>
    </row>
    <row r="66" spans="1:11" ht="39.75" customHeight="1" x14ac:dyDescent="0.25">
      <c r="A66" s="225"/>
      <c r="B66" s="226" t="s">
        <v>20</v>
      </c>
      <c r="C66" s="227"/>
      <c r="D66" s="227"/>
      <c r="E66" s="227"/>
      <c r="F66" s="228"/>
      <c r="G66" s="69">
        <f>SUM(G60:G65)</f>
        <v>11160</v>
      </c>
      <c r="H66" s="8"/>
      <c r="I66" s="4"/>
      <c r="J66" s="69">
        <f>+SUBTOTAL(109,J60:J65)</f>
        <v>1581800</v>
      </c>
      <c r="K66" s="95"/>
    </row>
    <row r="67" spans="1:11" ht="39.75" customHeight="1" x14ac:dyDescent="0.25">
      <c r="A67" s="224">
        <v>7</v>
      </c>
      <c r="B67" s="77" t="s">
        <v>0</v>
      </c>
      <c r="C67" s="42" t="s">
        <v>24</v>
      </c>
      <c r="D67" s="44">
        <v>46011</v>
      </c>
      <c r="E67" s="44">
        <v>46016</v>
      </c>
      <c r="F67" s="78"/>
      <c r="G67" s="68">
        <v>4620</v>
      </c>
      <c r="H67" s="4">
        <f t="shared" ref="H67" si="16">E67-D67+1</f>
        <v>6</v>
      </c>
      <c r="I67" s="4">
        <v>71</v>
      </c>
      <c r="J67" s="94">
        <f t="shared" ref="J67" si="17">+I67*H67*G67</f>
        <v>1968120</v>
      </c>
      <c r="K67" s="44">
        <v>46011</v>
      </c>
    </row>
    <row r="68" spans="1:11" ht="39.75" customHeight="1" x14ac:dyDescent="0.25">
      <c r="A68" s="230"/>
      <c r="B68" s="77" t="s">
        <v>0</v>
      </c>
      <c r="C68" s="42" t="s">
        <v>24</v>
      </c>
      <c r="D68" s="44">
        <v>46012</v>
      </c>
      <c r="E68" s="44">
        <v>46016</v>
      </c>
      <c r="F68" s="78"/>
      <c r="G68" s="68">
        <v>3696</v>
      </c>
      <c r="H68" s="4">
        <f t="shared" ref="H68:H90" si="18">E68-D68+1</f>
        <v>5</v>
      </c>
      <c r="I68" s="4">
        <v>71</v>
      </c>
      <c r="J68" s="94">
        <f t="shared" ref="J68:J82" si="19">+I68*H68*G68</f>
        <v>1312080</v>
      </c>
      <c r="K68" s="44">
        <v>46012</v>
      </c>
    </row>
    <row r="69" spans="1:11" ht="39.75" customHeight="1" x14ac:dyDescent="0.25">
      <c r="A69" s="230"/>
      <c r="B69" s="77" t="s">
        <v>0</v>
      </c>
      <c r="C69" s="42" t="s">
        <v>24</v>
      </c>
      <c r="D69" s="44">
        <v>46013</v>
      </c>
      <c r="E69" s="44">
        <v>46016</v>
      </c>
      <c r="F69" s="78"/>
      <c r="G69" s="68">
        <v>3696</v>
      </c>
      <c r="H69" s="4">
        <f t="shared" si="18"/>
        <v>4</v>
      </c>
      <c r="I69" s="4">
        <v>71</v>
      </c>
      <c r="J69" s="94">
        <f t="shared" si="19"/>
        <v>1049664</v>
      </c>
      <c r="K69" s="44">
        <v>46013</v>
      </c>
    </row>
    <row r="70" spans="1:11" ht="39.75" customHeight="1" x14ac:dyDescent="0.25">
      <c r="A70" s="230"/>
      <c r="B70" s="77" t="s">
        <v>0</v>
      </c>
      <c r="C70" s="42" t="s">
        <v>24</v>
      </c>
      <c r="D70" s="44">
        <v>46013</v>
      </c>
      <c r="E70" s="44">
        <v>46016</v>
      </c>
      <c r="F70" s="78"/>
      <c r="G70" s="68">
        <v>3696</v>
      </c>
      <c r="H70" s="4">
        <f t="shared" si="18"/>
        <v>4</v>
      </c>
      <c r="I70" s="4">
        <v>71</v>
      </c>
      <c r="J70" s="94">
        <f t="shared" si="19"/>
        <v>1049664</v>
      </c>
      <c r="K70" s="44">
        <v>46013</v>
      </c>
    </row>
    <row r="71" spans="1:11" ht="39.75" customHeight="1" x14ac:dyDescent="0.25">
      <c r="A71" s="230"/>
      <c r="B71" s="77" t="s">
        <v>0</v>
      </c>
      <c r="C71" s="42" t="s">
        <v>24</v>
      </c>
      <c r="D71" s="44">
        <v>46013</v>
      </c>
      <c r="E71" s="44">
        <v>46016</v>
      </c>
      <c r="F71" s="78"/>
      <c r="G71" s="68">
        <v>3695</v>
      </c>
      <c r="H71" s="4">
        <f t="shared" si="18"/>
        <v>4</v>
      </c>
      <c r="I71" s="4">
        <v>71</v>
      </c>
      <c r="J71" s="94">
        <f t="shared" si="19"/>
        <v>1049380</v>
      </c>
      <c r="K71" s="44">
        <v>46013</v>
      </c>
    </row>
    <row r="72" spans="1:11" ht="39.75" customHeight="1" x14ac:dyDescent="0.25">
      <c r="A72" s="230"/>
      <c r="B72" s="77" t="s">
        <v>0</v>
      </c>
      <c r="C72" s="42" t="s">
        <v>24</v>
      </c>
      <c r="D72" s="44">
        <v>46014</v>
      </c>
      <c r="E72" s="44">
        <v>46016</v>
      </c>
      <c r="F72" s="78"/>
      <c r="G72" s="68">
        <v>3696</v>
      </c>
      <c r="H72" s="4">
        <f t="shared" si="18"/>
        <v>3</v>
      </c>
      <c r="I72" s="4">
        <v>71</v>
      </c>
      <c r="J72" s="94">
        <f t="shared" si="19"/>
        <v>787248</v>
      </c>
      <c r="K72" s="44">
        <v>46014</v>
      </c>
    </row>
    <row r="73" spans="1:11" ht="39.75" customHeight="1" x14ac:dyDescent="0.25">
      <c r="A73" s="230"/>
      <c r="B73" s="77" t="s">
        <v>0</v>
      </c>
      <c r="C73" s="42" t="s">
        <v>24</v>
      </c>
      <c r="D73" s="44">
        <v>46015</v>
      </c>
      <c r="E73" s="44">
        <v>46016</v>
      </c>
      <c r="F73" s="78"/>
      <c r="G73" s="68">
        <v>4000</v>
      </c>
      <c r="H73" s="4">
        <f t="shared" si="18"/>
        <v>2</v>
      </c>
      <c r="I73" s="4">
        <v>71</v>
      </c>
      <c r="J73" s="94">
        <f t="shared" si="19"/>
        <v>568000</v>
      </c>
      <c r="K73" s="44">
        <v>46015</v>
      </c>
    </row>
    <row r="74" spans="1:11" ht="39.75" customHeight="1" x14ac:dyDescent="0.25">
      <c r="A74" s="230"/>
      <c r="B74" s="77" t="s">
        <v>153</v>
      </c>
      <c r="C74" s="42" t="s">
        <v>24</v>
      </c>
      <c r="D74" s="44">
        <v>46015</v>
      </c>
      <c r="E74" s="44">
        <v>46016</v>
      </c>
      <c r="F74" s="78"/>
      <c r="G74" s="68">
        <v>6600</v>
      </c>
      <c r="H74" s="4">
        <f t="shared" si="18"/>
        <v>2</v>
      </c>
      <c r="I74" s="4">
        <v>71</v>
      </c>
      <c r="J74" s="94">
        <f t="shared" si="19"/>
        <v>937200</v>
      </c>
      <c r="K74" s="44">
        <v>46015</v>
      </c>
    </row>
    <row r="75" spans="1:11" ht="39.75" customHeight="1" x14ac:dyDescent="0.25">
      <c r="A75" s="230"/>
      <c r="B75" s="77" t="s">
        <v>153</v>
      </c>
      <c r="C75" s="42" t="s">
        <v>24</v>
      </c>
      <c r="D75" s="44">
        <v>46015</v>
      </c>
      <c r="E75" s="44">
        <v>46016</v>
      </c>
      <c r="F75" s="78"/>
      <c r="G75" s="68">
        <v>4620</v>
      </c>
      <c r="H75" s="4">
        <f t="shared" si="18"/>
        <v>2</v>
      </c>
      <c r="I75" s="4">
        <v>71</v>
      </c>
      <c r="J75" s="94">
        <f t="shared" si="19"/>
        <v>656040</v>
      </c>
      <c r="K75" s="44">
        <v>46015</v>
      </c>
    </row>
    <row r="76" spans="1:11" ht="39.75" customHeight="1" x14ac:dyDescent="0.25">
      <c r="A76" s="230"/>
      <c r="B76" s="77" t="s">
        <v>0</v>
      </c>
      <c r="C76" s="42" t="s">
        <v>24</v>
      </c>
      <c r="D76" s="44">
        <v>46015</v>
      </c>
      <c r="E76" s="44">
        <v>46016</v>
      </c>
      <c r="F76" s="78"/>
      <c r="G76" s="68">
        <v>4620</v>
      </c>
      <c r="H76" s="4">
        <f t="shared" si="18"/>
        <v>2</v>
      </c>
      <c r="I76" s="4">
        <v>71</v>
      </c>
      <c r="J76" s="94">
        <f t="shared" si="19"/>
        <v>656040</v>
      </c>
      <c r="K76" s="44">
        <v>46015</v>
      </c>
    </row>
    <row r="77" spans="1:11" ht="39.75" customHeight="1" x14ac:dyDescent="0.25">
      <c r="A77" s="230"/>
      <c r="B77" s="77" t="s">
        <v>0</v>
      </c>
      <c r="C77" s="42" t="s">
        <v>24</v>
      </c>
      <c r="D77" s="44">
        <v>46015</v>
      </c>
      <c r="E77" s="44">
        <v>46016</v>
      </c>
      <c r="F77" s="78"/>
      <c r="G77" s="68">
        <v>3696</v>
      </c>
      <c r="H77" s="4">
        <f t="shared" si="18"/>
        <v>2</v>
      </c>
      <c r="I77" s="4">
        <v>71</v>
      </c>
      <c r="J77" s="94">
        <f t="shared" si="19"/>
        <v>524832</v>
      </c>
      <c r="K77" s="44">
        <v>46015</v>
      </c>
    </row>
    <row r="78" spans="1:11" ht="39.75" customHeight="1" x14ac:dyDescent="0.25">
      <c r="A78" s="230"/>
      <c r="B78" s="77" t="s">
        <v>0</v>
      </c>
      <c r="C78" s="42" t="s">
        <v>24</v>
      </c>
      <c r="D78" s="44">
        <v>46015</v>
      </c>
      <c r="E78" s="44">
        <v>46016</v>
      </c>
      <c r="F78" s="78"/>
      <c r="G78" s="68">
        <v>924</v>
      </c>
      <c r="H78" s="4">
        <f t="shared" si="18"/>
        <v>2</v>
      </c>
      <c r="I78" s="4">
        <v>71</v>
      </c>
      <c r="J78" s="94">
        <f t="shared" si="19"/>
        <v>131208</v>
      </c>
      <c r="K78" s="44">
        <v>46015</v>
      </c>
    </row>
    <row r="79" spans="1:11" ht="39.75" customHeight="1" x14ac:dyDescent="0.25">
      <c r="A79" s="230"/>
      <c r="B79" s="77" t="s">
        <v>0</v>
      </c>
      <c r="C79" s="42" t="s">
        <v>24</v>
      </c>
      <c r="D79" s="44">
        <v>46016</v>
      </c>
      <c r="E79" s="44">
        <v>46016</v>
      </c>
      <c r="F79" s="78"/>
      <c r="G79" s="68">
        <v>1764</v>
      </c>
      <c r="H79" s="4">
        <f t="shared" si="18"/>
        <v>1</v>
      </c>
      <c r="I79" s="4">
        <v>71</v>
      </c>
      <c r="J79" s="94">
        <f t="shared" si="19"/>
        <v>125244</v>
      </c>
      <c r="K79" s="44">
        <v>46016</v>
      </c>
    </row>
    <row r="80" spans="1:11" ht="39.75" customHeight="1" x14ac:dyDescent="0.25">
      <c r="A80" s="230"/>
      <c r="B80" s="77" t="s">
        <v>0</v>
      </c>
      <c r="C80" s="42" t="s">
        <v>24</v>
      </c>
      <c r="D80" s="44">
        <v>46016</v>
      </c>
      <c r="E80" s="44">
        <v>46016</v>
      </c>
      <c r="F80" s="78"/>
      <c r="G80" s="68">
        <v>4000</v>
      </c>
      <c r="H80" s="4">
        <f t="shared" si="18"/>
        <v>1</v>
      </c>
      <c r="I80" s="4">
        <v>71</v>
      </c>
      <c r="J80" s="94">
        <f t="shared" si="19"/>
        <v>284000</v>
      </c>
      <c r="K80" s="44">
        <v>46016</v>
      </c>
    </row>
    <row r="81" spans="1:11" ht="39.75" customHeight="1" x14ac:dyDescent="0.25">
      <c r="A81" s="230"/>
      <c r="B81" s="77" t="s">
        <v>0</v>
      </c>
      <c r="C81" s="42" t="s">
        <v>24</v>
      </c>
      <c r="D81" s="44">
        <v>46016</v>
      </c>
      <c r="E81" s="44">
        <v>46016</v>
      </c>
      <c r="F81" s="78"/>
      <c r="G81" s="68">
        <v>3696</v>
      </c>
      <c r="H81" s="4">
        <f t="shared" si="18"/>
        <v>1</v>
      </c>
      <c r="I81" s="4">
        <v>71</v>
      </c>
      <c r="J81" s="94">
        <f t="shared" si="19"/>
        <v>262416</v>
      </c>
      <c r="K81" s="44">
        <v>46016</v>
      </c>
    </row>
    <row r="82" spans="1:11" ht="39.75" customHeight="1" x14ac:dyDescent="0.25">
      <c r="A82" s="230"/>
      <c r="B82" s="77" t="s">
        <v>0</v>
      </c>
      <c r="C82" s="42" t="s">
        <v>24</v>
      </c>
      <c r="D82" s="44">
        <v>46016</v>
      </c>
      <c r="E82" s="44">
        <v>46016</v>
      </c>
      <c r="F82" s="78"/>
      <c r="G82" s="68">
        <v>3696</v>
      </c>
      <c r="H82" s="4">
        <f t="shared" si="18"/>
        <v>1</v>
      </c>
      <c r="I82" s="4">
        <v>71</v>
      </c>
      <c r="J82" s="94">
        <f t="shared" si="19"/>
        <v>262416</v>
      </c>
      <c r="K82" s="44">
        <v>46016</v>
      </c>
    </row>
    <row r="83" spans="1:11" ht="39.75" customHeight="1" x14ac:dyDescent="0.25">
      <c r="A83" s="225"/>
      <c r="B83" s="226" t="s">
        <v>20</v>
      </c>
      <c r="C83" s="227"/>
      <c r="D83" s="227"/>
      <c r="E83" s="227"/>
      <c r="F83" s="228"/>
      <c r="G83" s="69">
        <f>SUM(G67:G82)</f>
        <v>60715</v>
      </c>
      <c r="H83" s="8"/>
      <c r="I83" s="4"/>
      <c r="J83" s="69">
        <f>+SUBTOTAL(109,J67:J82)</f>
        <v>11623552</v>
      </c>
      <c r="K83" s="95"/>
    </row>
    <row r="84" spans="1:11" ht="39.75" customHeight="1" x14ac:dyDescent="0.25">
      <c r="A84" s="224">
        <v>8</v>
      </c>
      <c r="B84" s="77" t="s">
        <v>150</v>
      </c>
      <c r="C84" s="42" t="s">
        <v>24</v>
      </c>
      <c r="D84" s="44">
        <v>46012</v>
      </c>
      <c r="E84" s="44">
        <v>46016</v>
      </c>
      <c r="F84" s="79"/>
      <c r="G84" s="70">
        <v>750</v>
      </c>
      <c r="H84" s="4">
        <f t="shared" si="18"/>
        <v>5</v>
      </c>
      <c r="I84" s="67">
        <v>70</v>
      </c>
      <c r="J84" s="94">
        <f>+I84*H84*G84</f>
        <v>262500</v>
      </c>
      <c r="K84" s="44">
        <v>46012</v>
      </c>
    </row>
    <row r="85" spans="1:11" ht="39.75" customHeight="1" x14ac:dyDescent="0.25">
      <c r="A85" s="230"/>
      <c r="B85" s="77" t="s">
        <v>150</v>
      </c>
      <c r="C85" s="42" t="s">
        <v>24</v>
      </c>
      <c r="D85" s="44">
        <v>46013</v>
      </c>
      <c r="E85" s="44">
        <v>46016</v>
      </c>
      <c r="F85" s="79"/>
      <c r="G85" s="70">
        <v>750</v>
      </c>
      <c r="H85" s="4">
        <f t="shared" si="18"/>
        <v>4</v>
      </c>
      <c r="I85" s="67">
        <v>70</v>
      </c>
      <c r="J85" s="94">
        <f t="shared" ref="J85:J90" si="20">+I85*H85*G85</f>
        <v>210000</v>
      </c>
      <c r="K85" s="44">
        <v>46013</v>
      </c>
    </row>
    <row r="86" spans="1:11" ht="39.75" customHeight="1" x14ac:dyDescent="0.25">
      <c r="A86" s="230"/>
      <c r="B86" s="77" t="s">
        <v>150</v>
      </c>
      <c r="C86" s="42" t="s">
        <v>24</v>
      </c>
      <c r="D86" s="44">
        <v>46014</v>
      </c>
      <c r="E86" s="44">
        <v>46016</v>
      </c>
      <c r="F86" s="79"/>
      <c r="G86" s="70">
        <v>1500</v>
      </c>
      <c r="H86" s="4">
        <f t="shared" si="18"/>
        <v>3</v>
      </c>
      <c r="I86" s="67">
        <v>70</v>
      </c>
      <c r="J86" s="94">
        <f t="shared" si="20"/>
        <v>315000</v>
      </c>
      <c r="K86" s="44">
        <v>46014</v>
      </c>
    </row>
    <row r="87" spans="1:11" ht="39.75" customHeight="1" x14ac:dyDescent="0.25">
      <c r="A87" s="230"/>
      <c r="B87" s="77" t="s">
        <v>150</v>
      </c>
      <c r="C87" s="42" t="s">
        <v>24</v>
      </c>
      <c r="D87" s="44">
        <v>46015</v>
      </c>
      <c r="E87" s="44">
        <v>46016</v>
      </c>
      <c r="F87" s="79"/>
      <c r="G87" s="70">
        <v>1500</v>
      </c>
      <c r="H87" s="4">
        <f t="shared" si="18"/>
        <v>2</v>
      </c>
      <c r="I87" s="67">
        <v>70</v>
      </c>
      <c r="J87" s="94">
        <f t="shared" si="20"/>
        <v>210000</v>
      </c>
      <c r="K87" s="44">
        <v>46015</v>
      </c>
    </row>
    <row r="88" spans="1:11" ht="39.75" customHeight="1" x14ac:dyDescent="0.25">
      <c r="A88" s="230"/>
      <c r="B88" s="77" t="s">
        <v>150</v>
      </c>
      <c r="C88" s="42" t="s">
        <v>24</v>
      </c>
      <c r="D88" s="44">
        <v>46015</v>
      </c>
      <c r="E88" s="44">
        <v>46016</v>
      </c>
      <c r="F88" s="79"/>
      <c r="G88" s="70">
        <v>750</v>
      </c>
      <c r="H88" s="4">
        <f t="shared" si="18"/>
        <v>2</v>
      </c>
      <c r="I88" s="67">
        <v>70</v>
      </c>
      <c r="J88" s="94">
        <f t="shared" si="20"/>
        <v>105000</v>
      </c>
      <c r="K88" s="44">
        <v>46015</v>
      </c>
    </row>
    <row r="89" spans="1:11" ht="39.75" customHeight="1" x14ac:dyDescent="0.25">
      <c r="A89" s="230"/>
      <c r="B89" s="77" t="s">
        <v>150</v>
      </c>
      <c r="C89" s="42" t="s">
        <v>24</v>
      </c>
      <c r="D89" s="44">
        <v>46015</v>
      </c>
      <c r="E89" s="44">
        <v>46016</v>
      </c>
      <c r="F89" s="79"/>
      <c r="G89" s="70">
        <v>1650</v>
      </c>
      <c r="H89" s="4">
        <f t="shared" si="18"/>
        <v>2</v>
      </c>
      <c r="I89" s="67">
        <v>70</v>
      </c>
      <c r="J89" s="94">
        <f t="shared" si="20"/>
        <v>231000</v>
      </c>
      <c r="K89" s="44">
        <v>46015</v>
      </c>
    </row>
    <row r="90" spans="1:11" ht="39.75" customHeight="1" x14ac:dyDescent="0.25">
      <c r="A90" s="230"/>
      <c r="B90" s="77" t="s">
        <v>150</v>
      </c>
      <c r="C90" s="42" t="s">
        <v>24</v>
      </c>
      <c r="D90" s="44">
        <v>46016</v>
      </c>
      <c r="E90" s="44">
        <v>46016</v>
      </c>
      <c r="F90" s="79"/>
      <c r="G90" s="70">
        <v>1500</v>
      </c>
      <c r="H90" s="4">
        <f t="shared" si="18"/>
        <v>1</v>
      </c>
      <c r="I90" s="67">
        <v>70</v>
      </c>
      <c r="J90" s="94">
        <f t="shared" si="20"/>
        <v>105000</v>
      </c>
      <c r="K90" s="44">
        <v>46016</v>
      </c>
    </row>
    <row r="91" spans="1:11" ht="39.75" customHeight="1" x14ac:dyDescent="0.25">
      <c r="A91" s="225"/>
      <c r="B91" s="226" t="s">
        <v>20</v>
      </c>
      <c r="C91" s="227"/>
      <c r="D91" s="227"/>
      <c r="E91" s="227"/>
      <c r="F91" s="228"/>
      <c r="G91" s="69">
        <f>SUM(G84:G90)</f>
        <v>8400</v>
      </c>
      <c r="H91" s="8"/>
      <c r="I91" s="4"/>
      <c r="J91" s="69">
        <f>+SUBTOTAL(109,J84:J90)</f>
        <v>1438500</v>
      </c>
      <c r="K91" s="95"/>
    </row>
    <row r="92" spans="1:11" ht="39.75" customHeight="1" x14ac:dyDescent="0.25">
      <c r="A92" s="224">
        <v>9</v>
      </c>
      <c r="B92" s="77" t="s">
        <v>151</v>
      </c>
      <c r="C92" s="42" t="s">
        <v>24</v>
      </c>
      <c r="D92" s="44">
        <v>46012</v>
      </c>
      <c r="E92" s="44">
        <v>46016</v>
      </c>
      <c r="F92" s="78"/>
      <c r="G92" s="68">
        <v>750</v>
      </c>
      <c r="H92" s="4">
        <f t="shared" ref="H92:H98" si="21">E92-D92+1</f>
        <v>5</v>
      </c>
      <c r="I92" s="4">
        <v>70</v>
      </c>
      <c r="J92" s="94">
        <f t="shared" ref="J92:J98" si="22">+I92*H92*G92</f>
        <v>262500</v>
      </c>
      <c r="K92" s="44">
        <v>46012</v>
      </c>
    </row>
    <row r="93" spans="1:11" ht="39.75" customHeight="1" x14ac:dyDescent="0.25">
      <c r="A93" s="230"/>
      <c r="B93" s="77" t="s">
        <v>151</v>
      </c>
      <c r="C93" s="42" t="s">
        <v>24</v>
      </c>
      <c r="D93" s="44">
        <v>46013</v>
      </c>
      <c r="E93" s="44">
        <v>46016</v>
      </c>
      <c r="F93" s="78"/>
      <c r="G93" s="68">
        <v>750</v>
      </c>
      <c r="H93" s="4">
        <f t="shared" si="21"/>
        <v>4</v>
      </c>
      <c r="I93" s="4">
        <v>70</v>
      </c>
      <c r="J93" s="94">
        <f t="shared" si="22"/>
        <v>210000</v>
      </c>
      <c r="K93" s="44">
        <v>46013</v>
      </c>
    </row>
    <row r="94" spans="1:11" ht="39.75" customHeight="1" x14ac:dyDescent="0.25">
      <c r="A94" s="230"/>
      <c r="B94" s="77" t="s">
        <v>151</v>
      </c>
      <c r="C94" s="42" t="s">
        <v>24</v>
      </c>
      <c r="D94" s="44">
        <v>46014</v>
      </c>
      <c r="E94" s="44">
        <v>46016</v>
      </c>
      <c r="F94" s="78"/>
      <c r="G94" s="68">
        <v>1500</v>
      </c>
      <c r="H94" s="4">
        <f t="shared" si="21"/>
        <v>3</v>
      </c>
      <c r="I94" s="4">
        <v>70</v>
      </c>
      <c r="J94" s="94">
        <f t="shared" si="22"/>
        <v>315000</v>
      </c>
      <c r="K94" s="44">
        <v>46014</v>
      </c>
    </row>
    <row r="95" spans="1:11" ht="39.75" customHeight="1" x14ac:dyDescent="0.25">
      <c r="A95" s="230"/>
      <c r="B95" s="77" t="s">
        <v>151</v>
      </c>
      <c r="C95" s="42" t="s">
        <v>24</v>
      </c>
      <c r="D95" s="44">
        <v>46015</v>
      </c>
      <c r="E95" s="44">
        <v>46016</v>
      </c>
      <c r="F95" s="78"/>
      <c r="G95" s="68">
        <v>1500</v>
      </c>
      <c r="H95" s="4">
        <f t="shared" si="21"/>
        <v>2</v>
      </c>
      <c r="I95" s="4">
        <v>70</v>
      </c>
      <c r="J95" s="94">
        <f t="shared" si="22"/>
        <v>210000</v>
      </c>
      <c r="K95" s="44">
        <v>46015</v>
      </c>
    </row>
    <row r="96" spans="1:11" ht="39.75" customHeight="1" x14ac:dyDescent="0.25">
      <c r="A96" s="230"/>
      <c r="B96" s="77" t="s">
        <v>151</v>
      </c>
      <c r="C96" s="42" t="s">
        <v>24</v>
      </c>
      <c r="D96" s="44">
        <v>46015</v>
      </c>
      <c r="E96" s="44">
        <v>46016</v>
      </c>
      <c r="F96" s="78"/>
      <c r="G96" s="68">
        <v>3000</v>
      </c>
      <c r="H96" s="4">
        <f t="shared" si="21"/>
        <v>2</v>
      </c>
      <c r="I96" s="4">
        <v>70</v>
      </c>
      <c r="J96" s="94">
        <f t="shared" si="22"/>
        <v>420000</v>
      </c>
      <c r="K96" s="44">
        <v>46015</v>
      </c>
    </row>
    <row r="97" spans="1:13" ht="39.75" customHeight="1" x14ac:dyDescent="0.25">
      <c r="A97" s="230"/>
      <c r="B97" s="77" t="s">
        <v>151</v>
      </c>
      <c r="C97" s="42" t="s">
        <v>24</v>
      </c>
      <c r="D97" s="44">
        <v>46015</v>
      </c>
      <c r="E97" s="44">
        <v>46016</v>
      </c>
      <c r="F97" s="78"/>
      <c r="G97" s="68">
        <v>2350</v>
      </c>
      <c r="H97" s="4">
        <f t="shared" si="21"/>
        <v>2</v>
      </c>
      <c r="I97" s="4">
        <v>70</v>
      </c>
      <c r="J97" s="94">
        <f t="shared" si="22"/>
        <v>329000</v>
      </c>
      <c r="K97" s="44">
        <v>46015</v>
      </c>
    </row>
    <row r="98" spans="1:13" ht="39.75" customHeight="1" x14ac:dyDescent="0.25">
      <c r="A98" s="230"/>
      <c r="B98" s="77" t="s">
        <v>151</v>
      </c>
      <c r="C98" s="42" t="s">
        <v>24</v>
      </c>
      <c r="D98" s="44">
        <v>46016</v>
      </c>
      <c r="E98" s="44">
        <v>46016</v>
      </c>
      <c r="F98" s="78"/>
      <c r="G98" s="68">
        <v>1500</v>
      </c>
      <c r="H98" s="4">
        <f t="shared" si="21"/>
        <v>1</v>
      </c>
      <c r="I98" s="4">
        <v>70</v>
      </c>
      <c r="J98" s="94">
        <f t="shared" si="22"/>
        <v>105000</v>
      </c>
      <c r="K98" s="44">
        <v>46016</v>
      </c>
    </row>
    <row r="99" spans="1:13" ht="39.75" customHeight="1" x14ac:dyDescent="0.25">
      <c r="A99" s="225"/>
      <c r="B99" s="226" t="s">
        <v>20</v>
      </c>
      <c r="C99" s="227"/>
      <c r="D99" s="227"/>
      <c r="E99" s="227"/>
      <c r="F99" s="228"/>
      <c r="G99" s="69">
        <f>SUM(G92:G98)</f>
        <v>11350</v>
      </c>
      <c r="H99" s="8"/>
      <c r="I99" s="4"/>
      <c r="J99" s="69">
        <f>+SUBTOTAL(109,J92:J98)</f>
        <v>1851500</v>
      </c>
      <c r="K99" s="95"/>
      <c r="L99" s="85">
        <f>+G99+G91+G83+G66+G59+G52+G40+G37+G33</f>
        <v>133801</v>
      </c>
    </row>
    <row r="100" spans="1:13" ht="39.75" customHeight="1" x14ac:dyDescent="0.25">
      <c r="A100" s="59" t="str">
        <f>ROMAN(2,0)</f>
        <v>II</v>
      </c>
      <c r="B100" s="22" t="s">
        <v>56</v>
      </c>
      <c r="C100" s="59"/>
      <c r="D100" s="59"/>
      <c r="E100" s="59"/>
      <c r="F100" s="59"/>
      <c r="G100" s="69"/>
      <c r="H100" s="8"/>
      <c r="I100" s="8"/>
      <c r="J100" s="87"/>
      <c r="K100" s="97"/>
      <c r="L100" s="85">
        <v>133833</v>
      </c>
    </row>
    <row r="101" spans="1:13" s="17" customFormat="1" ht="39.75" customHeight="1" x14ac:dyDescent="0.25">
      <c r="A101" s="42">
        <v>1</v>
      </c>
      <c r="B101" s="80" t="s">
        <v>58</v>
      </c>
      <c r="C101" s="42" t="s">
        <v>57</v>
      </c>
      <c r="D101" s="42"/>
      <c r="E101" s="59"/>
      <c r="F101" s="79"/>
      <c r="G101" s="79">
        <v>16</v>
      </c>
      <c r="H101" s="4"/>
      <c r="I101" s="23">
        <v>5000000</v>
      </c>
      <c r="J101" s="87"/>
      <c r="K101" s="231" t="s">
        <v>129</v>
      </c>
      <c r="L101" s="88">
        <f>L100-L99</f>
        <v>32</v>
      </c>
      <c r="M101" s="17" t="s">
        <v>159</v>
      </c>
    </row>
    <row r="102" spans="1:13" s="17" customFormat="1" ht="39.75" customHeight="1" x14ac:dyDescent="0.25">
      <c r="A102" s="42">
        <v>2</v>
      </c>
      <c r="B102" s="80" t="s">
        <v>73</v>
      </c>
      <c r="C102" s="42" t="s">
        <v>57</v>
      </c>
      <c r="D102" s="42"/>
      <c r="E102" s="59"/>
      <c r="F102" s="79"/>
      <c r="G102" s="79">
        <v>1</v>
      </c>
      <c r="H102" s="8"/>
      <c r="I102" s="23">
        <v>4500000</v>
      </c>
      <c r="J102" s="87"/>
      <c r="K102" s="232"/>
      <c r="L102" s="88"/>
    </row>
    <row r="103" spans="1:13" s="17" customFormat="1" ht="39.75" customHeight="1" x14ac:dyDescent="0.25">
      <c r="A103" s="211" t="s">
        <v>156</v>
      </c>
      <c r="B103" s="211"/>
      <c r="C103" s="211"/>
      <c r="D103" s="211"/>
      <c r="E103" s="211"/>
      <c r="F103" s="211"/>
      <c r="G103" s="211"/>
      <c r="H103" s="211"/>
      <c r="I103" s="211"/>
      <c r="J103" s="69">
        <f>SUBTOTAL(9,J30:J102)</f>
        <v>28488912</v>
      </c>
      <c r="K103" s="98"/>
      <c r="L103" s="88"/>
    </row>
    <row r="104" spans="1:13" s="17" customFormat="1" ht="39.75" customHeight="1" x14ac:dyDescent="0.25">
      <c r="A104" s="211" t="s">
        <v>54</v>
      </c>
      <c r="B104" s="211"/>
      <c r="C104" s="211"/>
      <c r="D104" s="211"/>
      <c r="E104" s="211"/>
      <c r="F104" s="211"/>
      <c r="G104" s="211"/>
      <c r="H104" s="211"/>
      <c r="I104" s="211"/>
      <c r="J104" s="89">
        <f>ROUND(J103*8%,0)</f>
        <v>2279113</v>
      </c>
      <c r="K104" s="59"/>
      <c r="L104" s="88"/>
    </row>
    <row r="105" spans="1:13" s="17" customFormat="1" ht="39.75" customHeight="1" x14ac:dyDescent="0.25">
      <c r="A105" s="211" t="s">
        <v>27</v>
      </c>
      <c r="B105" s="211"/>
      <c r="C105" s="211"/>
      <c r="D105" s="211"/>
      <c r="E105" s="211"/>
      <c r="F105" s="211"/>
      <c r="G105" s="211"/>
      <c r="H105" s="211"/>
      <c r="I105" s="211"/>
      <c r="J105" s="69">
        <f>SUM(J103:J104)</f>
        <v>30768025</v>
      </c>
      <c r="K105" s="59"/>
      <c r="L105" s="88"/>
    </row>
    <row r="106" spans="1:13" s="17" customFormat="1" ht="19.5" customHeight="1" x14ac:dyDescent="0.25">
      <c r="A106" s="99" t="s">
        <v>123</v>
      </c>
      <c r="B106" s="100" t="s">
        <v>158</v>
      </c>
      <c r="C106" s="40"/>
      <c r="D106" s="40"/>
      <c r="E106" s="40"/>
      <c r="F106" s="40"/>
      <c r="G106" s="40"/>
      <c r="H106" s="40"/>
      <c r="I106" s="40"/>
      <c r="J106" s="90"/>
      <c r="K106" s="40"/>
      <c r="L106" s="88"/>
    </row>
    <row r="107" spans="1:13" ht="21.75" customHeight="1" x14ac:dyDescent="0.25">
      <c r="A107" s="5" t="s">
        <v>60</v>
      </c>
      <c r="B107" s="5"/>
      <c r="C107" s="30"/>
      <c r="D107" s="30"/>
      <c r="E107" s="30"/>
      <c r="F107" s="5"/>
      <c r="G107" s="5"/>
      <c r="H107" s="5"/>
      <c r="I107" s="5"/>
      <c r="J107" s="5"/>
      <c r="K107" s="30"/>
    </row>
    <row r="108" spans="1:13" ht="15.75" x14ac:dyDescent="0.25">
      <c r="A108" s="197" t="s">
        <v>21</v>
      </c>
      <c r="B108" s="197"/>
      <c r="C108" s="197"/>
      <c r="D108" s="197"/>
      <c r="E108" s="197" t="s">
        <v>22</v>
      </c>
      <c r="F108" s="197"/>
      <c r="G108" s="197"/>
      <c r="H108" s="197"/>
      <c r="I108" s="197"/>
      <c r="J108" s="197"/>
      <c r="K108" s="197"/>
    </row>
    <row r="112" spans="1:13" ht="15.75" x14ac:dyDescent="0.25">
      <c r="A112" s="197" t="s">
        <v>1</v>
      </c>
      <c r="B112" s="197"/>
      <c r="C112" s="197"/>
      <c r="D112" s="197"/>
      <c r="E112" s="197"/>
      <c r="F112" s="197"/>
      <c r="G112" s="197"/>
      <c r="H112" s="197"/>
      <c r="I112" s="197"/>
      <c r="J112" s="197"/>
      <c r="K112" s="197"/>
    </row>
    <row r="113" spans="1:11" ht="15.75" x14ac:dyDescent="0.25">
      <c r="A113" s="197" t="s">
        <v>2</v>
      </c>
      <c r="B113" s="197"/>
      <c r="C113" s="197"/>
      <c r="D113" s="197"/>
      <c r="E113" s="197"/>
      <c r="F113" s="197"/>
      <c r="G113" s="197"/>
      <c r="H113" s="197"/>
      <c r="I113" s="197"/>
      <c r="J113" s="197"/>
      <c r="K113" s="197"/>
    </row>
    <row r="114" spans="1:11" x14ac:dyDescent="0.25">
      <c r="A114" s="18"/>
      <c r="B114" s="18"/>
      <c r="C114" s="18"/>
      <c r="D114" s="18"/>
      <c r="E114" s="18"/>
      <c r="F114" s="18"/>
      <c r="G114" s="18"/>
      <c r="H114" s="18"/>
      <c r="I114" s="18"/>
      <c r="J114" s="18"/>
      <c r="K114" s="18"/>
    </row>
    <row r="115" spans="1:11" ht="20.25" x14ac:dyDescent="0.25">
      <c r="A115" s="204" t="s">
        <v>29</v>
      </c>
      <c r="B115" s="204"/>
      <c r="C115" s="204"/>
      <c r="D115" s="204"/>
      <c r="E115" s="204"/>
      <c r="F115" s="204"/>
      <c r="G115" s="204"/>
      <c r="H115" s="204"/>
      <c r="I115" s="204"/>
      <c r="J115" s="204"/>
      <c r="K115" s="204"/>
    </row>
    <row r="116" spans="1:11" ht="15.75" x14ac:dyDescent="0.25">
      <c r="A116" s="197" t="s">
        <v>160</v>
      </c>
      <c r="B116" s="197"/>
      <c r="C116" s="197"/>
      <c r="D116" s="197"/>
      <c r="E116" s="197"/>
      <c r="F116" s="197"/>
      <c r="G116" s="197"/>
      <c r="H116" s="197"/>
      <c r="I116" s="197"/>
      <c r="J116" s="197"/>
      <c r="K116" s="197"/>
    </row>
    <row r="117" spans="1:11" ht="15.75" x14ac:dyDescent="0.25">
      <c r="A117" s="60"/>
      <c r="B117" s="60"/>
      <c r="C117" s="60"/>
      <c r="D117" s="60"/>
      <c r="E117" s="60"/>
      <c r="F117" s="60"/>
      <c r="G117" s="60"/>
      <c r="H117" s="60"/>
      <c r="I117" s="60"/>
      <c r="J117" s="60"/>
      <c r="K117" s="60"/>
    </row>
    <row r="118" spans="1:11" ht="32.25" customHeight="1" x14ac:dyDescent="0.25">
      <c r="A118" s="219" t="str">
        <f>ĐCCN!$A$7</f>
        <v>- Căn cứ Hợp đồng kinh tế số 0412/HĐKT2025/TP-VIETPANEL ký ngày 04/12/2025 giữa Công ty TNHH xây dựng Việt Panel và Công ty Cổ phần Tập đoàn Thiết bị xây dựng TP về việc cho thuê thiết bị xây dựng.</v>
      </c>
      <c r="B118" s="219"/>
      <c r="C118" s="219"/>
      <c r="D118" s="219"/>
      <c r="E118" s="219"/>
      <c r="F118" s="219"/>
      <c r="G118" s="219"/>
      <c r="H118" s="219"/>
      <c r="I118" s="219"/>
      <c r="J118" s="219"/>
      <c r="K118" s="219"/>
    </row>
    <row r="119" spans="1:11" ht="16.5" x14ac:dyDescent="0.25">
      <c r="A119" s="6" t="s">
        <v>51</v>
      </c>
      <c r="B119" s="5" t="s">
        <v>144</v>
      </c>
      <c r="C119" s="30"/>
      <c r="D119" s="30"/>
      <c r="E119" s="30"/>
      <c r="F119" s="5"/>
      <c r="G119" s="5"/>
      <c r="H119" s="5"/>
      <c r="I119" s="5"/>
      <c r="J119" s="5"/>
      <c r="K119" s="30"/>
    </row>
    <row r="120" spans="1:11" ht="16.5" x14ac:dyDescent="0.25">
      <c r="A120" s="6" t="s">
        <v>59</v>
      </c>
      <c r="B120" s="6" t="s">
        <v>145</v>
      </c>
      <c r="C120" s="30"/>
      <c r="D120" s="30"/>
      <c r="E120" s="30"/>
      <c r="F120" s="5"/>
      <c r="G120" s="5"/>
      <c r="H120" s="5"/>
      <c r="I120" s="5"/>
      <c r="J120" s="5"/>
      <c r="K120" s="30"/>
    </row>
    <row r="121" spans="1:11" ht="16.5" x14ac:dyDescent="0.25">
      <c r="A121" s="6" t="s">
        <v>161</v>
      </c>
      <c r="B121" s="5"/>
      <c r="C121" s="30"/>
      <c r="D121" s="30"/>
      <c r="E121" s="30"/>
      <c r="F121" s="5"/>
      <c r="G121" s="5"/>
      <c r="H121" s="5"/>
      <c r="I121" s="5"/>
      <c r="J121" s="5"/>
      <c r="K121" s="30"/>
    </row>
    <row r="122" spans="1:11" ht="16.5" x14ac:dyDescent="0.25">
      <c r="A122" s="5" t="s">
        <v>172</v>
      </c>
      <c r="B122" s="5"/>
      <c r="C122" s="30"/>
      <c r="D122" s="30"/>
      <c r="E122" s="30"/>
      <c r="F122" s="5"/>
      <c r="G122" s="5"/>
      <c r="H122" s="5"/>
      <c r="I122" s="5"/>
      <c r="J122" s="5"/>
      <c r="K122" s="30"/>
    </row>
    <row r="123" spans="1:11" ht="16.5" x14ac:dyDescent="0.25">
      <c r="A123" s="7" t="str">
        <f>$A$12</f>
        <v>BÊN THUÊ (BÊN A): CÔNG TY TNHH XÂY DỰNG VIỆT PANEL</v>
      </c>
      <c r="B123" s="7"/>
      <c r="C123" s="40"/>
      <c r="D123" s="40"/>
      <c r="E123" s="40"/>
      <c r="F123" s="7"/>
      <c r="G123" s="7"/>
      <c r="H123" s="7"/>
      <c r="I123" s="7"/>
      <c r="J123" s="7"/>
      <c r="K123" s="40"/>
    </row>
    <row r="124" spans="1:11" ht="16.5" x14ac:dyDescent="0.25">
      <c r="A124" s="5" t="s">
        <v>125</v>
      </c>
      <c r="B124" s="5" t="str">
        <f>ĐCCN!$C$9</f>
        <v>Thôn Đông Phù, Xã Tiên Du, Tỉnh Bắc Ninh, Việt Nam</v>
      </c>
      <c r="C124" s="30"/>
      <c r="D124" s="30"/>
      <c r="E124" s="30"/>
      <c r="F124" s="5"/>
      <c r="G124" s="5"/>
      <c r="H124" s="5"/>
      <c r="I124" s="5"/>
      <c r="J124" s="5"/>
      <c r="K124" s="30"/>
    </row>
    <row r="125" spans="1:11" ht="16.5" x14ac:dyDescent="0.25">
      <c r="A125" s="5" t="s">
        <v>5</v>
      </c>
      <c r="B125" s="5"/>
      <c r="C125" s="198" t="str">
        <f>ĐCCN!$C$10</f>
        <v>0222 6535 699</v>
      </c>
      <c r="D125" s="208"/>
      <c r="E125" s="5"/>
      <c r="F125" s="5"/>
      <c r="G125" s="5"/>
      <c r="H125" s="5"/>
      <c r="I125" s="5"/>
      <c r="J125" s="5"/>
      <c r="K125" s="30"/>
    </row>
    <row r="126" spans="1:11" ht="16.5" x14ac:dyDescent="0.25">
      <c r="A126" s="5" t="s">
        <v>4</v>
      </c>
      <c r="B126" s="5"/>
      <c r="C126" s="209">
        <f>ĐCCN!$C$11</f>
        <v>616139999</v>
      </c>
      <c r="D126" s="209"/>
      <c r="E126" s="41" t="str">
        <f>ĐCCN!$E$11</f>
        <v>Tại MB Ngân hàng quân đội</v>
      </c>
      <c r="F126" s="5"/>
      <c r="G126" s="5"/>
      <c r="H126" s="5"/>
      <c r="I126" s="5"/>
      <c r="J126" s="5"/>
      <c r="K126" s="30"/>
    </row>
    <row r="127" spans="1:11" ht="16.5" x14ac:dyDescent="0.25">
      <c r="A127" s="5" t="s">
        <v>6</v>
      </c>
      <c r="B127" s="6"/>
      <c r="C127" s="198" t="str">
        <f>ĐCCN!$C$12</f>
        <v>2300856941</v>
      </c>
      <c r="D127" s="198"/>
      <c r="E127" s="6"/>
      <c r="F127" s="6"/>
      <c r="G127" s="5"/>
      <c r="H127" s="5"/>
      <c r="I127" s="5"/>
      <c r="J127" s="5"/>
      <c r="K127" s="30"/>
    </row>
    <row r="128" spans="1:11" ht="16.5" x14ac:dyDescent="0.25">
      <c r="A128" s="5" t="s">
        <v>7</v>
      </c>
      <c r="B128" s="5"/>
      <c r="C128" s="7" t="str">
        <f>ĐCCN!$C$13</f>
        <v>Ông Lưu Đình Cải</v>
      </c>
      <c r="D128" s="40"/>
      <c r="E128" s="5" t="str">
        <f>ĐCCN!$E$13</f>
        <v>Chức vụ: Giám đốc</v>
      </c>
      <c r="F128" s="5"/>
      <c r="G128" s="5"/>
      <c r="H128" s="5"/>
      <c r="I128" s="5"/>
      <c r="J128" s="5"/>
      <c r="K128" s="30"/>
    </row>
    <row r="129" spans="1:16" ht="16.5" x14ac:dyDescent="0.25">
      <c r="A129" s="5"/>
      <c r="B129" s="5"/>
      <c r="C129" s="30"/>
      <c r="D129" s="30"/>
      <c r="E129" s="30"/>
      <c r="F129" s="5"/>
      <c r="G129" s="5"/>
      <c r="H129" s="5"/>
      <c r="I129" s="5"/>
      <c r="J129" s="5"/>
      <c r="K129" s="30"/>
    </row>
    <row r="130" spans="1:16" ht="16.5" x14ac:dyDescent="0.25">
      <c r="A130" s="7" t="s">
        <v>8</v>
      </c>
      <c r="B130" s="7"/>
      <c r="C130" s="40"/>
      <c r="D130" s="40"/>
      <c r="E130" s="40"/>
      <c r="F130" s="7"/>
      <c r="G130" s="7"/>
      <c r="H130" s="7"/>
      <c r="I130" s="7"/>
      <c r="J130" s="7"/>
      <c r="K130" s="40"/>
    </row>
    <row r="131" spans="1:16" ht="16.5" x14ac:dyDescent="0.25">
      <c r="A131" s="5" t="s">
        <v>115</v>
      </c>
      <c r="B131" s="5"/>
      <c r="C131" s="30"/>
      <c r="D131" s="30"/>
      <c r="E131" s="30"/>
      <c r="F131" s="5"/>
      <c r="G131" s="5"/>
      <c r="H131" s="5"/>
      <c r="I131" s="5"/>
      <c r="J131" s="5"/>
      <c r="K131" s="30"/>
    </row>
    <row r="132" spans="1:16" ht="16.5" x14ac:dyDescent="0.25">
      <c r="A132" s="5" t="s">
        <v>5</v>
      </c>
      <c r="B132" s="5"/>
      <c r="C132" s="6" t="s">
        <v>9</v>
      </c>
      <c r="D132" s="24"/>
      <c r="E132" s="30"/>
      <c r="F132" s="5"/>
      <c r="G132" s="5"/>
      <c r="H132" s="5"/>
      <c r="I132" s="5"/>
      <c r="J132" s="5"/>
      <c r="K132" s="30"/>
    </row>
    <row r="133" spans="1:16" ht="16.5" x14ac:dyDescent="0.25">
      <c r="A133" s="5" t="s">
        <v>10</v>
      </c>
      <c r="B133" s="5"/>
      <c r="C133" s="32" t="str">
        <f>$C$22</f>
        <v>8331100096008</v>
      </c>
      <c r="D133" s="17"/>
      <c r="E133" s="201" t="str">
        <f>$E$22</f>
        <v>Tại Ngân hàng Thương mại cổ phần Quân đội - Chi nhánh Hoàng Quốc Việt</v>
      </c>
      <c r="F133" s="201"/>
      <c r="G133" s="201"/>
      <c r="H133" s="201"/>
      <c r="I133" s="201"/>
      <c r="J133" s="201"/>
      <c r="K133" s="201"/>
    </row>
    <row r="134" spans="1:16" ht="16.5" x14ac:dyDescent="0.25">
      <c r="A134" s="5" t="s">
        <v>6</v>
      </c>
      <c r="B134" s="5"/>
      <c r="C134" s="6" t="s">
        <v>19</v>
      </c>
      <c r="D134" s="24"/>
      <c r="E134" s="41"/>
      <c r="F134" s="5"/>
      <c r="G134" s="5"/>
      <c r="H134" s="5"/>
      <c r="I134" s="5"/>
      <c r="J134" s="5"/>
      <c r="K134" s="30"/>
    </row>
    <row r="135" spans="1:16" ht="16.5" x14ac:dyDescent="0.25">
      <c r="A135" s="5" t="s">
        <v>7</v>
      </c>
      <c r="B135" s="5"/>
      <c r="C135" s="7" t="s">
        <v>116</v>
      </c>
      <c r="D135" s="40"/>
      <c r="E135" s="41" t="s">
        <v>117</v>
      </c>
      <c r="F135" s="5"/>
      <c r="G135" s="5"/>
      <c r="H135" s="5"/>
      <c r="I135" s="5"/>
      <c r="J135" s="5"/>
      <c r="K135" s="30"/>
    </row>
    <row r="136" spans="1:16" ht="16.5" x14ac:dyDescent="0.25">
      <c r="A136" s="5"/>
      <c r="B136" s="5"/>
      <c r="C136" s="30"/>
      <c r="D136" s="30"/>
      <c r="E136" s="30"/>
      <c r="F136" s="5"/>
      <c r="G136" s="5"/>
      <c r="H136" s="5"/>
      <c r="I136" s="5"/>
      <c r="J136" s="5"/>
      <c r="K136" s="30"/>
    </row>
    <row r="137" spans="1:16" ht="16.5" x14ac:dyDescent="0.25">
      <c r="A137" s="5" t="s">
        <v>162</v>
      </c>
      <c r="B137" s="5"/>
      <c r="C137" s="30"/>
      <c r="D137" s="30"/>
      <c r="E137" s="30"/>
      <c r="F137" s="5"/>
      <c r="G137" s="5"/>
      <c r="H137" s="5"/>
      <c r="I137" s="5"/>
      <c r="J137" s="5"/>
      <c r="K137" s="30"/>
    </row>
    <row r="139" spans="1:16" ht="66" x14ac:dyDescent="0.25">
      <c r="A139" s="3" t="s">
        <v>12</v>
      </c>
      <c r="B139" s="3" t="s">
        <v>13</v>
      </c>
      <c r="C139" s="3" t="s">
        <v>23</v>
      </c>
      <c r="D139" s="3" t="s">
        <v>61</v>
      </c>
      <c r="E139" s="3" t="s">
        <v>14</v>
      </c>
      <c r="F139" s="3" t="s">
        <v>15</v>
      </c>
      <c r="G139" s="3" t="s">
        <v>16</v>
      </c>
      <c r="H139" s="3" t="s">
        <v>17</v>
      </c>
      <c r="I139" s="3" t="s">
        <v>26</v>
      </c>
      <c r="J139" s="59" t="s">
        <v>25</v>
      </c>
      <c r="K139" s="59" t="s">
        <v>18</v>
      </c>
      <c r="L139" s="91">
        <f>+G156+G177+G179+G205+G214+G223+G259+G274+G288+G290</f>
        <v>424034</v>
      </c>
      <c r="M139" s="91" t="s">
        <v>244</v>
      </c>
      <c r="N139" s="91"/>
      <c r="P139" s="101"/>
    </row>
    <row r="140" spans="1:16" ht="16.5" x14ac:dyDescent="0.25">
      <c r="A140" s="3" t="str">
        <f>ROMAN(1,0)</f>
        <v>I</v>
      </c>
      <c r="B140" s="21" t="s">
        <v>55</v>
      </c>
      <c r="C140" s="3"/>
      <c r="D140" s="3"/>
      <c r="E140" s="3"/>
      <c r="F140" s="3"/>
      <c r="G140" s="3"/>
      <c r="H140" s="3"/>
      <c r="I140" s="3"/>
      <c r="J140" s="69">
        <f>SUBTOTAL(9,J141:J290)</f>
        <v>818972877</v>
      </c>
      <c r="K140" s="42"/>
    </row>
    <row r="141" spans="1:16" ht="17.25" x14ac:dyDescent="0.25">
      <c r="A141" s="229">
        <v>1</v>
      </c>
      <c r="B141" s="77" t="s">
        <v>148</v>
      </c>
      <c r="C141" s="42" t="s">
        <v>49</v>
      </c>
      <c r="D141" s="44">
        <v>46017</v>
      </c>
      <c r="E141" s="44">
        <v>46047</v>
      </c>
      <c r="F141" s="78">
        <v>4500</v>
      </c>
      <c r="G141" s="68">
        <f>+F141</f>
        <v>4500</v>
      </c>
      <c r="H141" s="4">
        <f>E141-D141+1</f>
        <v>31</v>
      </c>
      <c r="I141" s="4">
        <v>85</v>
      </c>
      <c r="J141" s="94">
        <f>+I141*H141*G141</f>
        <v>11857500</v>
      </c>
      <c r="K141" s="4"/>
    </row>
    <row r="142" spans="1:16" ht="17.25" x14ac:dyDescent="0.25">
      <c r="A142" s="229"/>
      <c r="B142" s="77" t="s">
        <v>148</v>
      </c>
      <c r="C142" s="42" t="s">
        <v>49</v>
      </c>
      <c r="D142" s="44">
        <v>46018</v>
      </c>
      <c r="E142" s="44">
        <v>46047</v>
      </c>
      <c r="F142" s="78"/>
      <c r="G142" s="68">
        <v>1600</v>
      </c>
      <c r="H142" s="4">
        <f t="shared" ref="H142" si="23">E142-D142+1</f>
        <v>30</v>
      </c>
      <c r="I142" s="4">
        <v>85</v>
      </c>
      <c r="J142" s="94">
        <f t="shared" ref="J142" si="24">+I142*H142*G142</f>
        <v>4080000</v>
      </c>
      <c r="K142" s="4" t="s">
        <v>167</v>
      </c>
      <c r="L142" s="85" t="s">
        <v>206</v>
      </c>
      <c r="M142" s="1" t="s">
        <v>205</v>
      </c>
    </row>
    <row r="143" spans="1:16" ht="17.25" x14ac:dyDescent="0.25">
      <c r="A143" s="229"/>
      <c r="B143" s="77" t="s">
        <v>148</v>
      </c>
      <c r="C143" s="42" t="s">
        <v>49</v>
      </c>
      <c r="D143" s="44">
        <v>46017</v>
      </c>
      <c r="E143" s="44">
        <v>46047</v>
      </c>
      <c r="F143" s="78"/>
      <c r="G143" s="68">
        <v>1600</v>
      </c>
      <c r="H143" s="4">
        <f t="shared" ref="H143:H146" si="25">E143-D143+1</f>
        <v>31</v>
      </c>
      <c r="I143" s="4">
        <v>85</v>
      </c>
      <c r="J143" s="94">
        <f t="shared" ref="J143:J146" si="26">+I143*H143*G143</f>
        <v>4216000</v>
      </c>
      <c r="K143" s="4" t="s">
        <v>166</v>
      </c>
      <c r="L143" s="85" t="s">
        <v>200</v>
      </c>
      <c r="M143" s="1" t="s">
        <v>199</v>
      </c>
    </row>
    <row r="144" spans="1:16" ht="17.25" x14ac:dyDescent="0.25">
      <c r="A144" s="229"/>
      <c r="B144" s="77" t="s">
        <v>148</v>
      </c>
      <c r="C144" s="42" t="s">
        <v>49</v>
      </c>
      <c r="D144" s="44">
        <v>46019</v>
      </c>
      <c r="E144" s="44">
        <v>46047</v>
      </c>
      <c r="F144" s="78"/>
      <c r="G144" s="68">
        <v>1600</v>
      </c>
      <c r="H144" s="4">
        <f t="shared" si="25"/>
        <v>29</v>
      </c>
      <c r="I144" s="4">
        <v>85</v>
      </c>
      <c r="J144" s="94">
        <f t="shared" si="26"/>
        <v>3944000</v>
      </c>
      <c r="K144" s="4" t="s">
        <v>168</v>
      </c>
      <c r="L144" s="85" t="s">
        <v>209</v>
      </c>
      <c r="M144" s="1" t="s">
        <v>210</v>
      </c>
    </row>
    <row r="145" spans="1:13" ht="17.25" x14ac:dyDescent="0.25">
      <c r="A145" s="229"/>
      <c r="B145" s="77" t="s">
        <v>148</v>
      </c>
      <c r="C145" s="42" t="s">
        <v>49</v>
      </c>
      <c r="D145" s="44">
        <v>46019</v>
      </c>
      <c r="E145" s="44">
        <v>46047</v>
      </c>
      <c r="F145" s="78"/>
      <c r="G145" s="68">
        <v>1600</v>
      </c>
      <c r="H145" s="4">
        <f t="shared" si="25"/>
        <v>29</v>
      </c>
      <c r="I145" s="4">
        <v>85</v>
      </c>
      <c r="J145" s="94">
        <f t="shared" si="26"/>
        <v>3944000</v>
      </c>
      <c r="K145" s="4" t="s">
        <v>169</v>
      </c>
      <c r="L145" s="85" t="s">
        <v>211</v>
      </c>
      <c r="M145" s="1" t="s">
        <v>169</v>
      </c>
    </row>
    <row r="146" spans="1:13" ht="17.25" x14ac:dyDescent="0.25">
      <c r="A146" s="229"/>
      <c r="B146" s="77" t="s">
        <v>148</v>
      </c>
      <c r="C146" s="42" t="s">
        <v>49</v>
      </c>
      <c r="D146" s="44">
        <v>46021</v>
      </c>
      <c r="E146" s="44">
        <v>46047</v>
      </c>
      <c r="F146" s="78"/>
      <c r="G146" s="68">
        <v>1600</v>
      </c>
      <c r="H146" s="4">
        <f t="shared" si="25"/>
        <v>27</v>
      </c>
      <c r="I146" s="4">
        <v>85</v>
      </c>
      <c r="J146" s="94">
        <f t="shared" si="26"/>
        <v>3672000</v>
      </c>
      <c r="K146" s="4" t="s">
        <v>178</v>
      </c>
      <c r="L146" s="85" t="s">
        <v>214</v>
      </c>
      <c r="M146" s="1" t="s">
        <v>178</v>
      </c>
    </row>
    <row r="147" spans="1:13" ht="17.25" x14ac:dyDescent="0.25">
      <c r="A147" s="229"/>
      <c r="B147" s="77" t="s">
        <v>148</v>
      </c>
      <c r="C147" s="42" t="s">
        <v>49</v>
      </c>
      <c r="D147" s="44">
        <v>46022</v>
      </c>
      <c r="E147" s="44">
        <v>46047</v>
      </c>
      <c r="F147" s="78"/>
      <c r="G147" s="68">
        <v>1600</v>
      </c>
      <c r="H147" s="4">
        <f t="shared" ref="H147:H148" si="27">E147-D147+1</f>
        <v>26</v>
      </c>
      <c r="I147" s="4">
        <v>85</v>
      </c>
      <c r="J147" s="94">
        <f t="shared" ref="J147:J148" si="28">+I147*H147*G147</f>
        <v>3536000</v>
      </c>
      <c r="K147" s="4" t="s">
        <v>169</v>
      </c>
      <c r="L147" s="85" t="s">
        <v>215</v>
      </c>
      <c r="M147" s="1" t="s">
        <v>169</v>
      </c>
    </row>
    <row r="148" spans="1:13" ht="17.25" x14ac:dyDescent="0.25">
      <c r="A148" s="229"/>
      <c r="B148" s="77" t="s">
        <v>148</v>
      </c>
      <c r="C148" s="42" t="s">
        <v>49</v>
      </c>
      <c r="D148" s="44">
        <v>46024</v>
      </c>
      <c r="E148" s="44">
        <v>46047</v>
      </c>
      <c r="F148" s="78"/>
      <c r="G148" s="68">
        <v>400</v>
      </c>
      <c r="H148" s="4">
        <f t="shared" si="27"/>
        <v>24</v>
      </c>
      <c r="I148" s="4">
        <v>85</v>
      </c>
      <c r="J148" s="94">
        <f t="shared" si="28"/>
        <v>816000</v>
      </c>
      <c r="K148" s="4" t="s">
        <v>182</v>
      </c>
      <c r="L148" s="85" t="s">
        <v>220</v>
      </c>
    </row>
    <row r="149" spans="1:13" ht="17.25" x14ac:dyDescent="0.25">
      <c r="A149" s="229"/>
      <c r="B149" s="77" t="s">
        <v>148</v>
      </c>
      <c r="C149" s="42" t="s">
        <v>49</v>
      </c>
      <c r="D149" s="44">
        <v>46029</v>
      </c>
      <c r="E149" s="44">
        <v>46047</v>
      </c>
      <c r="F149" s="78"/>
      <c r="G149" s="68">
        <v>1600</v>
      </c>
      <c r="H149" s="4">
        <f t="shared" ref="H149:H152" si="29">E149-D149+1</f>
        <v>19</v>
      </c>
      <c r="I149" s="4">
        <v>85</v>
      </c>
      <c r="J149" s="94">
        <f t="shared" ref="J149:J151" si="30">+I149*H149*G149</f>
        <v>2584000</v>
      </c>
      <c r="K149" s="4" t="s">
        <v>189</v>
      </c>
      <c r="L149" s="85" t="s">
        <v>227</v>
      </c>
    </row>
    <row r="150" spans="1:13" ht="17.25" x14ac:dyDescent="0.25">
      <c r="A150" s="229"/>
      <c r="B150" s="77" t="s">
        <v>148</v>
      </c>
      <c r="C150" s="42" t="s">
        <v>49</v>
      </c>
      <c r="D150" s="44">
        <v>46029</v>
      </c>
      <c r="E150" s="44">
        <v>46047</v>
      </c>
      <c r="F150" s="78"/>
      <c r="G150" s="68">
        <v>800</v>
      </c>
      <c r="H150" s="4">
        <f t="shared" si="29"/>
        <v>19</v>
      </c>
      <c r="I150" s="4">
        <v>85</v>
      </c>
      <c r="J150" s="94">
        <f t="shared" si="30"/>
        <v>1292000</v>
      </c>
      <c r="K150" s="4" t="s">
        <v>182</v>
      </c>
      <c r="L150" s="85" t="s">
        <v>228</v>
      </c>
    </row>
    <row r="151" spans="1:13" ht="17.25" x14ac:dyDescent="0.25">
      <c r="A151" s="229"/>
      <c r="B151" s="77" t="s">
        <v>148</v>
      </c>
      <c r="C151" s="42" t="s">
        <v>49</v>
      </c>
      <c r="D151" s="44">
        <v>46032</v>
      </c>
      <c r="E151" s="44">
        <v>46047</v>
      </c>
      <c r="F151" s="78"/>
      <c r="G151" s="68">
        <v>600</v>
      </c>
      <c r="H151" s="4">
        <f t="shared" si="29"/>
        <v>16</v>
      </c>
      <c r="I151" s="4">
        <v>85</v>
      </c>
      <c r="J151" s="94">
        <f t="shared" si="30"/>
        <v>816000</v>
      </c>
      <c r="K151" s="4" t="s">
        <v>181</v>
      </c>
      <c r="L151" s="85" t="s">
        <v>230</v>
      </c>
    </row>
    <row r="152" spans="1:13" ht="17.25" x14ac:dyDescent="0.25">
      <c r="A152" s="229"/>
      <c r="B152" s="77" t="s">
        <v>148</v>
      </c>
      <c r="C152" s="42" t="s">
        <v>49</v>
      </c>
      <c r="D152" s="44">
        <v>46033</v>
      </c>
      <c r="E152" s="44">
        <v>46047</v>
      </c>
      <c r="F152" s="78"/>
      <c r="G152" s="68">
        <v>1600</v>
      </c>
      <c r="H152" s="4">
        <f t="shared" si="29"/>
        <v>15</v>
      </c>
      <c r="I152" s="4">
        <v>85</v>
      </c>
      <c r="J152" s="94">
        <f>+I152*H152*G152</f>
        <v>2040000</v>
      </c>
      <c r="K152" s="4" t="s">
        <v>190</v>
      </c>
      <c r="L152" s="85" t="s">
        <v>231</v>
      </c>
    </row>
    <row r="153" spans="1:13" ht="17.25" x14ac:dyDescent="0.25">
      <c r="A153" s="229"/>
      <c r="B153" s="77" t="s">
        <v>148</v>
      </c>
      <c r="C153" s="42" t="s">
        <v>49</v>
      </c>
      <c r="D153" s="44">
        <v>46034</v>
      </c>
      <c r="E153" s="44">
        <v>46047</v>
      </c>
      <c r="F153" s="78"/>
      <c r="G153" s="68">
        <v>200</v>
      </c>
      <c r="H153" s="4">
        <f t="shared" ref="H153:H155" si="31">E153-D153+1</f>
        <v>14</v>
      </c>
      <c r="I153" s="4">
        <v>85</v>
      </c>
      <c r="J153" s="94">
        <f>+I153*H153*G153</f>
        <v>238000</v>
      </c>
      <c r="K153" s="4" t="s">
        <v>189</v>
      </c>
      <c r="L153" s="85" t="s">
        <v>233</v>
      </c>
    </row>
    <row r="154" spans="1:13" ht="17.25" x14ac:dyDescent="0.25">
      <c r="A154" s="229"/>
      <c r="B154" s="77" t="s">
        <v>148</v>
      </c>
      <c r="C154" s="42" t="s">
        <v>49</v>
      </c>
      <c r="D154" s="44">
        <v>46034</v>
      </c>
      <c r="E154" s="44">
        <v>46047</v>
      </c>
      <c r="F154" s="78"/>
      <c r="G154" s="68">
        <v>1600</v>
      </c>
      <c r="H154" s="4">
        <f t="shared" si="31"/>
        <v>14</v>
      </c>
      <c r="I154" s="4">
        <v>85</v>
      </c>
      <c r="J154" s="94">
        <f>+I154*H154*G154</f>
        <v>1904000</v>
      </c>
      <c r="K154" s="4" t="s">
        <v>191</v>
      </c>
      <c r="L154" s="85" t="s">
        <v>232</v>
      </c>
    </row>
    <row r="155" spans="1:13" ht="17.25" x14ac:dyDescent="0.25">
      <c r="A155" s="229"/>
      <c r="B155" s="77" t="s">
        <v>148</v>
      </c>
      <c r="C155" s="42" t="s">
        <v>49</v>
      </c>
      <c r="D155" s="44">
        <v>46035</v>
      </c>
      <c r="E155" s="44">
        <v>46047</v>
      </c>
      <c r="F155" s="78"/>
      <c r="G155" s="68">
        <v>500</v>
      </c>
      <c r="H155" s="4">
        <f t="shared" si="31"/>
        <v>13</v>
      </c>
      <c r="I155" s="4">
        <v>85</v>
      </c>
      <c r="J155" s="94">
        <f>+I155*H155*G155</f>
        <v>552500</v>
      </c>
      <c r="K155" s="4" t="s">
        <v>192</v>
      </c>
      <c r="L155" s="85" t="s">
        <v>234</v>
      </c>
    </row>
    <row r="156" spans="1:13" ht="16.5" x14ac:dyDescent="0.25">
      <c r="A156" s="229"/>
      <c r="B156" s="226" t="s">
        <v>20</v>
      </c>
      <c r="C156" s="227"/>
      <c r="D156" s="227"/>
      <c r="E156" s="227"/>
      <c r="F156" s="228"/>
      <c r="G156" s="69">
        <f>SUM(G141:G155)</f>
        <v>21400</v>
      </c>
      <c r="H156" s="8"/>
      <c r="I156" s="4"/>
      <c r="J156" s="69">
        <f>+SUBTOTAL(109,J141:J155)</f>
        <v>45492000</v>
      </c>
      <c r="K156" s="4"/>
    </row>
    <row r="157" spans="1:13" ht="17.25" x14ac:dyDescent="0.25">
      <c r="A157" s="224">
        <v>2</v>
      </c>
      <c r="B157" s="77" t="s">
        <v>122</v>
      </c>
      <c r="C157" s="42" t="s">
        <v>49</v>
      </c>
      <c r="D157" s="44">
        <v>46017</v>
      </c>
      <c r="E157" s="44">
        <v>46047</v>
      </c>
      <c r="F157" s="78">
        <v>3900</v>
      </c>
      <c r="G157" s="68">
        <f>+F157</f>
        <v>3900</v>
      </c>
      <c r="H157" s="4">
        <f t="shared" ref="H157:H176" si="32">E157-D157+1</f>
        <v>31</v>
      </c>
      <c r="I157" s="4">
        <v>125</v>
      </c>
      <c r="J157" s="94">
        <f t="shared" ref="J157:J176" si="33">+I157*H157*G157</f>
        <v>15112500</v>
      </c>
      <c r="K157" s="4"/>
    </row>
    <row r="158" spans="1:13" ht="16.5" x14ac:dyDescent="0.25">
      <c r="A158" s="230"/>
      <c r="B158" s="77" t="s">
        <v>122</v>
      </c>
      <c r="C158" s="42" t="s">
        <v>49</v>
      </c>
      <c r="D158" s="44">
        <v>46018</v>
      </c>
      <c r="E158" s="44">
        <v>46047</v>
      </c>
      <c r="F158" s="79"/>
      <c r="G158" s="68">
        <v>1700</v>
      </c>
      <c r="H158" s="4">
        <f t="shared" si="32"/>
        <v>30</v>
      </c>
      <c r="I158" s="4">
        <v>125</v>
      </c>
      <c r="J158" s="94">
        <f t="shared" si="33"/>
        <v>6375000</v>
      </c>
      <c r="K158" s="4" t="s">
        <v>166</v>
      </c>
      <c r="L158" s="85" t="s">
        <v>206</v>
      </c>
      <c r="M158" s="1" t="s">
        <v>205</v>
      </c>
    </row>
    <row r="159" spans="1:13" ht="16.5" x14ac:dyDescent="0.25">
      <c r="A159" s="230"/>
      <c r="B159" s="77" t="s">
        <v>122</v>
      </c>
      <c r="C159" s="42" t="s">
        <v>49</v>
      </c>
      <c r="D159" s="44">
        <v>46017</v>
      </c>
      <c r="E159" s="44">
        <v>46047</v>
      </c>
      <c r="F159" s="79"/>
      <c r="G159" s="68">
        <v>1600</v>
      </c>
      <c r="H159" s="4">
        <f t="shared" ref="H159:H160" si="34">E159-D159+1</f>
        <v>31</v>
      </c>
      <c r="I159" s="4">
        <v>125</v>
      </c>
      <c r="J159" s="94">
        <f t="shared" ref="J159:J160" si="35">+I159*H159*G159</f>
        <v>6200000</v>
      </c>
      <c r="K159" s="4" t="s">
        <v>167</v>
      </c>
      <c r="L159" s="85" t="s">
        <v>200</v>
      </c>
      <c r="M159" s="1" t="s">
        <v>199</v>
      </c>
    </row>
    <row r="160" spans="1:13" ht="16.5" x14ac:dyDescent="0.25">
      <c r="A160" s="230"/>
      <c r="B160" s="77" t="s">
        <v>122</v>
      </c>
      <c r="C160" s="42" t="s">
        <v>49</v>
      </c>
      <c r="D160" s="44">
        <v>46019</v>
      </c>
      <c r="E160" s="44">
        <v>46047</v>
      </c>
      <c r="F160" s="79"/>
      <c r="G160" s="68">
        <v>1600</v>
      </c>
      <c r="H160" s="4">
        <f t="shared" si="34"/>
        <v>29</v>
      </c>
      <c r="I160" s="4">
        <v>125</v>
      </c>
      <c r="J160" s="94">
        <f t="shared" si="35"/>
        <v>5800000</v>
      </c>
      <c r="K160" s="4" t="s">
        <v>168</v>
      </c>
      <c r="L160" s="85" t="s">
        <v>209</v>
      </c>
      <c r="M160" s="1" t="s">
        <v>210</v>
      </c>
    </row>
    <row r="161" spans="1:13" ht="16.5" x14ac:dyDescent="0.25">
      <c r="A161" s="230"/>
      <c r="B161" s="77" t="s">
        <v>122</v>
      </c>
      <c r="C161" s="42" t="s">
        <v>49</v>
      </c>
      <c r="D161" s="44">
        <v>46019</v>
      </c>
      <c r="E161" s="44">
        <v>46047</v>
      </c>
      <c r="F161" s="79"/>
      <c r="G161" s="68">
        <v>1600</v>
      </c>
      <c r="H161" s="4">
        <f t="shared" ref="H161:H162" si="36">E161-D161+1</f>
        <v>29</v>
      </c>
      <c r="I161" s="4">
        <v>125</v>
      </c>
      <c r="J161" s="94">
        <f t="shared" ref="J161:J162" si="37">+I161*H161*G161</f>
        <v>5800000</v>
      </c>
      <c r="K161" s="4" t="s">
        <v>169</v>
      </c>
      <c r="L161" s="85" t="s">
        <v>211</v>
      </c>
      <c r="M161" s="1" t="s">
        <v>169</v>
      </c>
    </row>
    <row r="162" spans="1:13" ht="16.5" x14ac:dyDescent="0.25">
      <c r="A162" s="230"/>
      <c r="B162" s="77" t="s">
        <v>122</v>
      </c>
      <c r="C162" s="42" t="s">
        <v>49</v>
      </c>
      <c r="D162" s="44">
        <v>46021</v>
      </c>
      <c r="E162" s="44">
        <v>46047</v>
      </c>
      <c r="F162" s="79"/>
      <c r="G162" s="68">
        <v>1600</v>
      </c>
      <c r="H162" s="4">
        <f t="shared" si="36"/>
        <v>27</v>
      </c>
      <c r="I162" s="4">
        <v>125</v>
      </c>
      <c r="J162" s="94">
        <f t="shared" si="37"/>
        <v>5400000</v>
      </c>
      <c r="K162" s="4" t="s">
        <v>178</v>
      </c>
      <c r="L162" s="85" t="s">
        <v>214</v>
      </c>
      <c r="M162" s="1" t="s">
        <v>178</v>
      </c>
    </row>
    <row r="163" spans="1:13" ht="16.5" x14ac:dyDescent="0.25">
      <c r="A163" s="230"/>
      <c r="B163" s="77" t="s">
        <v>122</v>
      </c>
      <c r="C163" s="42" t="s">
        <v>49</v>
      </c>
      <c r="D163" s="44">
        <v>46022</v>
      </c>
      <c r="E163" s="44">
        <v>46047</v>
      </c>
      <c r="F163" s="79"/>
      <c r="G163" s="68">
        <v>1600</v>
      </c>
      <c r="H163" s="4">
        <f t="shared" ref="H163" si="38">E163-D163+1</f>
        <v>26</v>
      </c>
      <c r="I163" s="4">
        <v>125</v>
      </c>
      <c r="J163" s="94">
        <f t="shared" ref="J163:J167" si="39">+I163*H163*G163</f>
        <v>5200000</v>
      </c>
      <c r="K163" s="4" t="s">
        <v>169</v>
      </c>
      <c r="L163" s="85" t="s">
        <v>215</v>
      </c>
      <c r="M163" s="1" t="s">
        <v>169</v>
      </c>
    </row>
    <row r="164" spans="1:13" ht="17.25" x14ac:dyDescent="0.25">
      <c r="A164" s="230"/>
      <c r="B164" s="77" t="s">
        <v>122</v>
      </c>
      <c r="C164" s="42" t="s">
        <v>49</v>
      </c>
      <c r="D164" s="44">
        <v>46024</v>
      </c>
      <c r="E164" s="44">
        <v>46047</v>
      </c>
      <c r="F164" s="78"/>
      <c r="G164" s="68">
        <v>400</v>
      </c>
      <c r="H164" s="4">
        <f t="shared" ref="H164" si="40">E164-D164+1</f>
        <v>24</v>
      </c>
      <c r="I164" s="4">
        <v>125</v>
      </c>
      <c r="J164" s="94">
        <f t="shared" si="39"/>
        <v>1200000</v>
      </c>
      <c r="K164" s="4" t="s">
        <v>182</v>
      </c>
      <c r="L164" s="85" t="s">
        <v>220</v>
      </c>
    </row>
    <row r="165" spans="1:13" ht="16.5" x14ac:dyDescent="0.25">
      <c r="A165" s="230"/>
      <c r="B165" s="77" t="s">
        <v>122</v>
      </c>
      <c r="C165" s="42" t="s">
        <v>49</v>
      </c>
      <c r="D165" s="44">
        <v>46029</v>
      </c>
      <c r="E165" s="44">
        <v>46047</v>
      </c>
      <c r="F165" s="79"/>
      <c r="G165" s="68">
        <v>1600</v>
      </c>
      <c r="H165" s="4">
        <f t="shared" ref="H165:H167" si="41">E165-D165+1</f>
        <v>19</v>
      </c>
      <c r="I165" s="4">
        <v>125</v>
      </c>
      <c r="J165" s="94">
        <f t="shared" si="39"/>
        <v>3800000</v>
      </c>
      <c r="K165" s="4" t="s">
        <v>189</v>
      </c>
      <c r="L165" s="85" t="s">
        <v>227</v>
      </c>
    </row>
    <row r="166" spans="1:13" ht="16.5" x14ac:dyDescent="0.25">
      <c r="A166" s="230"/>
      <c r="B166" s="77" t="s">
        <v>122</v>
      </c>
      <c r="C166" s="42" t="s">
        <v>49</v>
      </c>
      <c r="D166" s="44">
        <v>46029</v>
      </c>
      <c r="E166" s="44">
        <v>46047</v>
      </c>
      <c r="F166" s="79"/>
      <c r="G166" s="68">
        <v>800</v>
      </c>
      <c r="H166" s="4">
        <f t="shared" si="41"/>
        <v>19</v>
      </c>
      <c r="I166" s="4">
        <v>125</v>
      </c>
      <c r="J166" s="94">
        <f t="shared" si="39"/>
        <v>1900000</v>
      </c>
      <c r="K166" s="4" t="s">
        <v>182</v>
      </c>
      <c r="L166" s="85" t="s">
        <v>228</v>
      </c>
    </row>
    <row r="167" spans="1:13" ht="16.5" x14ac:dyDescent="0.25">
      <c r="A167" s="230"/>
      <c r="B167" s="77" t="s">
        <v>122</v>
      </c>
      <c r="C167" s="42" t="s">
        <v>49</v>
      </c>
      <c r="D167" s="44">
        <v>46032</v>
      </c>
      <c r="E167" s="44">
        <v>46047</v>
      </c>
      <c r="F167" s="79"/>
      <c r="G167" s="68">
        <v>600</v>
      </c>
      <c r="H167" s="4">
        <f t="shared" si="41"/>
        <v>16</v>
      </c>
      <c r="I167" s="4">
        <v>125</v>
      </c>
      <c r="J167" s="94">
        <f t="shared" si="39"/>
        <v>1200000</v>
      </c>
      <c r="K167" s="4" t="s">
        <v>181</v>
      </c>
      <c r="L167" s="85" t="s">
        <v>230</v>
      </c>
    </row>
    <row r="168" spans="1:13" ht="16.5" x14ac:dyDescent="0.25">
      <c r="A168" s="230"/>
      <c r="B168" s="77" t="s">
        <v>122</v>
      </c>
      <c r="C168" s="42" t="s">
        <v>49</v>
      </c>
      <c r="D168" s="44">
        <v>46033</v>
      </c>
      <c r="E168" s="44">
        <v>46047</v>
      </c>
      <c r="F168" s="79"/>
      <c r="G168" s="68">
        <v>1600</v>
      </c>
      <c r="H168" s="4">
        <f t="shared" ref="H168:H172" si="42">E168-D168+1</f>
        <v>15</v>
      </c>
      <c r="I168" s="4">
        <v>125</v>
      </c>
      <c r="J168" s="94">
        <f t="shared" ref="J168:J172" si="43">+I168*H168*G168</f>
        <v>3000000</v>
      </c>
      <c r="K168" s="4" t="s">
        <v>190</v>
      </c>
      <c r="L168" s="85" t="s">
        <v>231</v>
      </c>
    </row>
    <row r="169" spans="1:13" ht="16.5" x14ac:dyDescent="0.25">
      <c r="A169" s="230"/>
      <c r="B169" s="77" t="s">
        <v>122</v>
      </c>
      <c r="C169" s="42" t="s">
        <v>49</v>
      </c>
      <c r="D169" s="44">
        <v>46034</v>
      </c>
      <c r="E169" s="44">
        <v>46047</v>
      </c>
      <c r="F169" s="79"/>
      <c r="G169" s="68">
        <v>500</v>
      </c>
      <c r="H169" s="4">
        <f t="shared" si="42"/>
        <v>14</v>
      </c>
      <c r="I169" s="4">
        <v>125</v>
      </c>
      <c r="J169" s="94">
        <f t="shared" si="43"/>
        <v>875000</v>
      </c>
      <c r="K169" s="4" t="s">
        <v>189</v>
      </c>
      <c r="L169" s="85" t="s">
        <v>233</v>
      </c>
    </row>
    <row r="170" spans="1:13" ht="16.5" x14ac:dyDescent="0.25">
      <c r="A170" s="230"/>
      <c r="B170" s="77" t="s">
        <v>122</v>
      </c>
      <c r="C170" s="42" t="s">
        <v>49</v>
      </c>
      <c r="D170" s="44">
        <v>46034</v>
      </c>
      <c r="E170" s="44">
        <v>46047</v>
      </c>
      <c r="F170" s="79"/>
      <c r="G170" s="68">
        <v>1700</v>
      </c>
      <c r="H170" s="4">
        <f t="shared" si="42"/>
        <v>14</v>
      </c>
      <c r="I170" s="4">
        <v>125</v>
      </c>
      <c r="J170" s="94">
        <f t="shared" si="43"/>
        <v>2975000</v>
      </c>
      <c r="K170" s="4" t="s">
        <v>191</v>
      </c>
      <c r="L170" s="85" t="s">
        <v>232</v>
      </c>
    </row>
    <row r="171" spans="1:13" ht="16.5" x14ac:dyDescent="0.25">
      <c r="A171" s="230"/>
      <c r="B171" s="77" t="s">
        <v>122</v>
      </c>
      <c r="C171" s="42" t="s">
        <v>49</v>
      </c>
      <c r="D171" s="44">
        <v>46042</v>
      </c>
      <c r="E171" s="44">
        <v>46047</v>
      </c>
      <c r="F171" s="79"/>
      <c r="G171" s="68">
        <v>800</v>
      </c>
      <c r="H171" s="4">
        <f t="shared" si="42"/>
        <v>6</v>
      </c>
      <c r="I171" s="4">
        <v>125</v>
      </c>
      <c r="J171" s="94">
        <f t="shared" si="43"/>
        <v>600000</v>
      </c>
      <c r="K171" s="4" t="s">
        <v>195</v>
      </c>
      <c r="L171" s="85" t="s">
        <v>238</v>
      </c>
    </row>
    <row r="172" spans="1:13" ht="16.5" x14ac:dyDescent="0.25">
      <c r="A172" s="230"/>
      <c r="B172" s="77" t="s">
        <v>122</v>
      </c>
      <c r="C172" s="42" t="s">
        <v>49</v>
      </c>
      <c r="D172" s="44">
        <v>46043</v>
      </c>
      <c r="E172" s="44">
        <v>46047</v>
      </c>
      <c r="F172" s="79"/>
      <c r="G172" s="68">
        <v>800</v>
      </c>
      <c r="H172" s="4">
        <f t="shared" si="42"/>
        <v>5</v>
      </c>
      <c r="I172" s="4">
        <v>125</v>
      </c>
      <c r="J172" s="94">
        <f t="shared" si="43"/>
        <v>500000</v>
      </c>
      <c r="K172" s="4" t="s">
        <v>190</v>
      </c>
      <c r="L172" s="85" t="s">
        <v>239</v>
      </c>
    </row>
    <row r="173" spans="1:13" ht="16.5" x14ac:dyDescent="0.25">
      <c r="A173" s="230"/>
      <c r="B173" s="77" t="s">
        <v>122</v>
      </c>
      <c r="C173" s="42" t="s">
        <v>49</v>
      </c>
      <c r="D173" s="44">
        <v>46045</v>
      </c>
      <c r="E173" s="44">
        <v>46047</v>
      </c>
      <c r="F173" s="79"/>
      <c r="G173" s="68">
        <v>800</v>
      </c>
      <c r="H173" s="4">
        <f t="shared" ref="H173" si="44">E173-D173+1</f>
        <v>3</v>
      </c>
      <c r="I173" s="4">
        <v>125</v>
      </c>
      <c r="J173" s="94">
        <f t="shared" ref="J173" si="45">+I173*H173*G173</f>
        <v>300000</v>
      </c>
      <c r="K173" s="4" t="s">
        <v>182</v>
      </c>
      <c r="L173" s="85" t="s">
        <v>240</v>
      </c>
    </row>
    <row r="174" spans="1:13" ht="16.5" x14ac:dyDescent="0.25">
      <c r="A174" s="230"/>
      <c r="B174" s="77" t="s">
        <v>122</v>
      </c>
      <c r="C174" s="42" t="s">
        <v>49</v>
      </c>
      <c r="D174" s="44">
        <v>46045</v>
      </c>
      <c r="E174" s="44">
        <v>46047</v>
      </c>
      <c r="F174" s="79"/>
      <c r="G174" s="68">
        <v>800</v>
      </c>
      <c r="H174" s="4">
        <f t="shared" ref="H174:H175" si="46">E174-D174+1</f>
        <v>3</v>
      </c>
      <c r="I174" s="4">
        <v>125</v>
      </c>
      <c r="J174" s="94">
        <f t="shared" ref="J174:J175" si="47">+I174*H174*G174</f>
        <v>300000</v>
      </c>
      <c r="K174" s="4" t="s">
        <v>192</v>
      </c>
      <c r="L174" s="85" t="s">
        <v>241</v>
      </c>
    </row>
    <row r="175" spans="1:13" ht="16.5" x14ac:dyDescent="0.25">
      <c r="A175" s="230"/>
      <c r="B175" s="77" t="s">
        <v>122</v>
      </c>
      <c r="C175" s="42" t="s">
        <v>49</v>
      </c>
      <c r="D175" s="44">
        <v>46047</v>
      </c>
      <c r="E175" s="44">
        <v>46047</v>
      </c>
      <c r="F175" s="79"/>
      <c r="G175" s="68">
        <v>800</v>
      </c>
      <c r="H175" s="4">
        <f t="shared" si="46"/>
        <v>1</v>
      </c>
      <c r="I175" s="4">
        <v>125</v>
      </c>
      <c r="J175" s="94">
        <f t="shared" si="47"/>
        <v>100000</v>
      </c>
      <c r="K175" s="4" t="s">
        <v>184</v>
      </c>
      <c r="L175" s="85" t="s">
        <v>242</v>
      </c>
    </row>
    <row r="176" spans="1:13" ht="16.5" x14ac:dyDescent="0.25">
      <c r="A176" s="230"/>
      <c r="B176" s="77" t="s">
        <v>122</v>
      </c>
      <c r="C176" s="42" t="s">
        <v>49</v>
      </c>
      <c r="D176" s="44">
        <v>46047</v>
      </c>
      <c r="E176" s="44">
        <v>46047</v>
      </c>
      <c r="F176" s="79"/>
      <c r="G176" s="68">
        <v>1200</v>
      </c>
      <c r="H176" s="4">
        <f t="shared" si="32"/>
        <v>1</v>
      </c>
      <c r="I176" s="4">
        <v>125</v>
      </c>
      <c r="J176" s="94">
        <f t="shared" si="33"/>
        <v>150000</v>
      </c>
      <c r="K176" s="4" t="s">
        <v>196</v>
      </c>
      <c r="L176" s="85" t="s">
        <v>243</v>
      </c>
    </row>
    <row r="177" spans="1:13" ht="16.5" x14ac:dyDescent="0.25">
      <c r="A177" s="225"/>
      <c r="B177" s="226" t="s">
        <v>20</v>
      </c>
      <c r="C177" s="227"/>
      <c r="D177" s="227"/>
      <c r="E177" s="227"/>
      <c r="F177" s="228"/>
      <c r="G177" s="69">
        <f>SUM(G157:G176)</f>
        <v>26000</v>
      </c>
      <c r="H177" s="8"/>
      <c r="I177" s="4"/>
      <c r="J177" s="69">
        <f>+SUBTOTAL(109,J157:J176)</f>
        <v>66787500</v>
      </c>
      <c r="K177" s="4"/>
    </row>
    <row r="178" spans="1:13" ht="17.25" x14ac:dyDescent="0.25">
      <c r="A178" s="224">
        <v>3</v>
      </c>
      <c r="B178" s="77" t="s">
        <v>118</v>
      </c>
      <c r="C178" s="42" t="s">
        <v>49</v>
      </c>
      <c r="D178" s="44">
        <v>46017</v>
      </c>
      <c r="E178" s="44">
        <v>46047</v>
      </c>
      <c r="F178" s="78">
        <v>1100</v>
      </c>
      <c r="G178" s="68">
        <f>+F178</f>
        <v>1100</v>
      </c>
      <c r="H178" s="4">
        <f t="shared" ref="H178" si="48">E178-D178+1</f>
        <v>31</v>
      </c>
      <c r="I178" s="4">
        <v>159</v>
      </c>
      <c r="J178" s="94">
        <f t="shared" ref="J178" si="49">+I178*H178*G178</f>
        <v>5421900</v>
      </c>
      <c r="K178" s="4"/>
    </row>
    <row r="179" spans="1:13" ht="16.5" x14ac:dyDescent="0.25">
      <c r="A179" s="225"/>
      <c r="B179" s="226" t="s">
        <v>20</v>
      </c>
      <c r="C179" s="227"/>
      <c r="D179" s="227"/>
      <c r="E179" s="227"/>
      <c r="F179" s="228"/>
      <c r="G179" s="69">
        <f>SUM(G178:G178)</f>
        <v>1100</v>
      </c>
      <c r="H179" s="8"/>
      <c r="I179" s="4"/>
      <c r="J179" s="69">
        <f>+SUBTOTAL(109,J178:J178)</f>
        <v>5421900</v>
      </c>
      <c r="K179" s="4"/>
    </row>
    <row r="180" spans="1:13" ht="17.25" x14ac:dyDescent="0.25">
      <c r="A180" s="224">
        <v>4</v>
      </c>
      <c r="B180" s="77" t="s">
        <v>50</v>
      </c>
      <c r="C180" s="42" t="s">
        <v>49</v>
      </c>
      <c r="D180" s="44">
        <v>46017</v>
      </c>
      <c r="E180" s="44">
        <v>46047</v>
      </c>
      <c r="F180" s="78">
        <v>16176</v>
      </c>
      <c r="G180" s="68">
        <f>+F180</f>
        <v>16176</v>
      </c>
      <c r="H180" s="4">
        <f>E180-D180+1</f>
        <v>31</v>
      </c>
      <c r="I180" s="4">
        <v>185</v>
      </c>
      <c r="J180" s="94">
        <f t="shared" ref="J180:J189" si="50">+I180*H180*G180</f>
        <v>92769360</v>
      </c>
      <c r="K180" s="4"/>
    </row>
    <row r="181" spans="1:13" ht="17.25" x14ac:dyDescent="0.25">
      <c r="A181" s="230"/>
      <c r="B181" s="77" t="s">
        <v>50</v>
      </c>
      <c r="C181" s="42" t="s">
        <v>49</v>
      </c>
      <c r="D181" s="44">
        <v>46018</v>
      </c>
      <c r="E181" s="44">
        <v>46047</v>
      </c>
      <c r="F181" s="78"/>
      <c r="G181" s="68">
        <v>1200</v>
      </c>
      <c r="H181" s="4">
        <f t="shared" ref="H181:H189" si="51">E181-D181+1</f>
        <v>30</v>
      </c>
      <c r="I181" s="4">
        <v>185</v>
      </c>
      <c r="J181" s="94">
        <f t="shared" si="50"/>
        <v>6660000</v>
      </c>
      <c r="K181" s="4" t="s">
        <v>165</v>
      </c>
      <c r="L181" s="85" t="s">
        <v>203</v>
      </c>
      <c r="M181" s="1" t="s">
        <v>204</v>
      </c>
    </row>
    <row r="182" spans="1:13" ht="17.25" x14ac:dyDescent="0.25">
      <c r="A182" s="230"/>
      <c r="B182" s="77" t="s">
        <v>50</v>
      </c>
      <c r="C182" s="42" t="s">
        <v>49</v>
      </c>
      <c r="D182" s="44">
        <v>46019</v>
      </c>
      <c r="E182" s="44">
        <v>46047</v>
      </c>
      <c r="F182" s="78"/>
      <c r="G182" s="68">
        <v>1500</v>
      </c>
      <c r="H182" s="4">
        <f t="shared" si="51"/>
        <v>29</v>
      </c>
      <c r="I182" s="4">
        <v>185</v>
      </c>
      <c r="J182" s="94">
        <f>+I182*H182*G182</f>
        <v>8047500</v>
      </c>
      <c r="K182" s="4" t="s">
        <v>187</v>
      </c>
      <c r="L182" s="85" t="s">
        <v>207</v>
      </c>
      <c r="M182" s="1" t="s">
        <v>208</v>
      </c>
    </row>
    <row r="183" spans="1:13" ht="17.25" x14ac:dyDescent="0.25">
      <c r="A183" s="230"/>
      <c r="B183" s="77" t="s">
        <v>50</v>
      </c>
      <c r="C183" s="42" t="s">
        <v>49</v>
      </c>
      <c r="D183" s="44">
        <v>46022</v>
      </c>
      <c r="E183" s="44">
        <v>46047</v>
      </c>
      <c r="F183" s="78"/>
      <c r="G183" s="68">
        <v>1500</v>
      </c>
      <c r="H183" s="4">
        <f t="shared" si="51"/>
        <v>26</v>
      </c>
      <c r="I183" s="4">
        <v>185</v>
      </c>
      <c r="J183" s="94">
        <f t="shared" si="50"/>
        <v>7215000</v>
      </c>
      <c r="K183" s="4" t="s">
        <v>179</v>
      </c>
      <c r="L183" s="85" t="s">
        <v>217</v>
      </c>
      <c r="M183" s="1" t="s">
        <v>179</v>
      </c>
    </row>
    <row r="184" spans="1:13" ht="17.25" x14ac:dyDescent="0.25">
      <c r="A184" s="230"/>
      <c r="B184" s="77" t="s">
        <v>50</v>
      </c>
      <c r="C184" s="42" t="s">
        <v>49</v>
      </c>
      <c r="D184" s="44">
        <v>46021</v>
      </c>
      <c r="E184" s="44">
        <v>46047</v>
      </c>
      <c r="F184" s="78"/>
      <c r="G184" s="68">
        <v>1400</v>
      </c>
      <c r="H184" s="4">
        <f t="shared" si="51"/>
        <v>27</v>
      </c>
      <c r="I184" s="4">
        <v>185</v>
      </c>
      <c r="J184" s="94">
        <f t="shared" si="50"/>
        <v>6993000</v>
      </c>
      <c r="K184" s="4" t="s">
        <v>170</v>
      </c>
      <c r="L184" s="85" t="s">
        <v>213</v>
      </c>
      <c r="M184" s="85" t="s">
        <v>212</v>
      </c>
    </row>
    <row r="185" spans="1:13" ht="17.25" x14ac:dyDescent="0.25">
      <c r="A185" s="230"/>
      <c r="B185" s="77" t="s">
        <v>50</v>
      </c>
      <c r="C185" s="42" t="s">
        <v>49</v>
      </c>
      <c r="D185" s="44">
        <v>46022</v>
      </c>
      <c r="E185" s="44">
        <v>46047</v>
      </c>
      <c r="F185" s="78"/>
      <c r="G185" s="68">
        <v>1500</v>
      </c>
      <c r="H185" s="4">
        <f t="shared" si="51"/>
        <v>26</v>
      </c>
      <c r="I185" s="4">
        <v>185</v>
      </c>
      <c r="J185" s="94">
        <f t="shared" si="50"/>
        <v>7215000</v>
      </c>
      <c r="K185" s="4" t="s">
        <v>180</v>
      </c>
      <c r="L185" s="85" t="s">
        <v>218</v>
      </c>
      <c r="M185" s="1" t="s">
        <v>180</v>
      </c>
    </row>
    <row r="186" spans="1:13" ht="17.25" x14ac:dyDescent="0.25">
      <c r="A186" s="230"/>
      <c r="B186" s="77" t="s">
        <v>50</v>
      </c>
      <c r="C186" s="42" t="s">
        <v>49</v>
      </c>
      <c r="D186" s="44">
        <v>46022</v>
      </c>
      <c r="E186" s="44">
        <v>46047</v>
      </c>
      <c r="F186" s="78"/>
      <c r="G186" s="68">
        <v>1700</v>
      </c>
      <c r="H186" s="4">
        <f t="shared" si="51"/>
        <v>26</v>
      </c>
      <c r="I186" s="4">
        <v>185</v>
      </c>
      <c r="J186" s="94">
        <f t="shared" si="50"/>
        <v>8177000</v>
      </c>
      <c r="K186" s="4" t="s">
        <v>181</v>
      </c>
      <c r="L186" s="85" t="s">
        <v>216</v>
      </c>
      <c r="M186" s="1" t="s">
        <v>181</v>
      </c>
    </row>
    <row r="187" spans="1:13" ht="17.25" x14ac:dyDescent="0.25">
      <c r="A187" s="230"/>
      <c r="B187" s="77" t="s">
        <v>50</v>
      </c>
      <c r="C187" s="42" t="s">
        <v>49</v>
      </c>
      <c r="D187" s="44">
        <v>46024</v>
      </c>
      <c r="E187" s="44">
        <v>46047</v>
      </c>
      <c r="F187" s="78"/>
      <c r="G187" s="68">
        <v>500</v>
      </c>
      <c r="H187" s="4">
        <f t="shared" si="51"/>
        <v>24</v>
      </c>
      <c r="I187" s="4">
        <v>185</v>
      </c>
      <c r="J187" s="94">
        <f t="shared" si="50"/>
        <v>2220000</v>
      </c>
      <c r="K187" s="4" t="s">
        <v>182</v>
      </c>
      <c r="L187" s="85" t="s">
        <v>220</v>
      </c>
    </row>
    <row r="188" spans="1:13" ht="17.25" x14ac:dyDescent="0.25">
      <c r="A188" s="230"/>
      <c r="B188" s="77" t="s">
        <v>50</v>
      </c>
      <c r="C188" s="42" t="s">
        <v>49</v>
      </c>
      <c r="D188" s="44">
        <v>46024</v>
      </c>
      <c r="E188" s="44">
        <v>46047</v>
      </c>
      <c r="F188" s="78"/>
      <c r="G188" s="68">
        <v>1500</v>
      </c>
      <c r="H188" s="4">
        <f t="shared" si="51"/>
        <v>24</v>
      </c>
      <c r="I188" s="4">
        <v>185</v>
      </c>
      <c r="J188" s="94">
        <f t="shared" si="50"/>
        <v>6660000</v>
      </c>
      <c r="K188" s="4" t="s">
        <v>180</v>
      </c>
      <c r="L188" s="85" t="s">
        <v>219</v>
      </c>
    </row>
    <row r="189" spans="1:13" ht="17.25" x14ac:dyDescent="0.25">
      <c r="A189" s="230"/>
      <c r="B189" s="77" t="s">
        <v>50</v>
      </c>
      <c r="C189" s="42" t="s">
        <v>49</v>
      </c>
      <c r="D189" s="44">
        <v>46026</v>
      </c>
      <c r="E189" s="44">
        <v>46047</v>
      </c>
      <c r="F189" s="78"/>
      <c r="G189" s="68">
        <v>1771</v>
      </c>
      <c r="H189" s="4">
        <f t="shared" si="51"/>
        <v>22</v>
      </c>
      <c r="I189" s="4">
        <v>185</v>
      </c>
      <c r="J189" s="94">
        <f t="shared" si="50"/>
        <v>7207970</v>
      </c>
      <c r="K189" s="4" t="s">
        <v>184</v>
      </c>
      <c r="L189" s="85" t="s">
        <v>223</v>
      </c>
    </row>
    <row r="190" spans="1:13" ht="17.25" x14ac:dyDescent="0.25">
      <c r="A190" s="230"/>
      <c r="B190" s="77" t="s">
        <v>50</v>
      </c>
      <c r="C190" s="42" t="s">
        <v>49</v>
      </c>
      <c r="D190" s="44">
        <v>46025</v>
      </c>
      <c r="E190" s="44">
        <v>46047</v>
      </c>
      <c r="F190" s="78"/>
      <c r="G190" s="68">
        <v>2000</v>
      </c>
      <c r="H190" s="4">
        <f t="shared" ref="H190:H192" si="52">E190-D190+1</f>
        <v>23</v>
      </c>
      <c r="I190" s="4">
        <v>185</v>
      </c>
      <c r="J190" s="94">
        <f t="shared" ref="J190:J192" si="53">+I190*H190*G190</f>
        <v>8510000</v>
      </c>
      <c r="K190" s="4" t="s">
        <v>183</v>
      </c>
      <c r="L190" s="85" t="s">
        <v>221</v>
      </c>
    </row>
    <row r="191" spans="1:13" ht="17.25" x14ac:dyDescent="0.25">
      <c r="A191" s="230"/>
      <c r="B191" s="77" t="s">
        <v>50</v>
      </c>
      <c r="C191" s="42" t="s">
        <v>49</v>
      </c>
      <c r="D191" s="44">
        <v>46027</v>
      </c>
      <c r="E191" s="44">
        <v>46047</v>
      </c>
      <c r="F191" s="78"/>
      <c r="G191" s="68">
        <v>1400</v>
      </c>
      <c r="H191" s="4">
        <f t="shared" si="52"/>
        <v>21</v>
      </c>
      <c r="I191" s="4">
        <v>185</v>
      </c>
      <c r="J191" s="94">
        <f t="shared" si="53"/>
        <v>5439000</v>
      </c>
      <c r="K191" s="4" t="s">
        <v>185</v>
      </c>
      <c r="L191" s="85" t="s">
        <v>224</v>
      </c>
    </row>
    <row r="192" spans="1:13" ht="17.25" x14ac:dyDescent="0.25">
      <c r="A192" s="230"/>
      <c r="B192" s="77" t="s">
        <v>50</v>
      </c>
      <c r="C192" s="42" t="s">
        <v>49</v>
      </c>
      <c r="D192" s="44">
        <v>46027</v>
      </c>
      <c r="E192" s="44">
        <v>46047</v>
      </c>
      <c r="F192" s="78"/>
      <c r="G192" s="68">
        <v>2000</v>
      </c>
      <c r="H192" s="4">
        <f t="shared" si="52"/>
        <v>21</v>
      </c>
      <c r="I192" s="4">
        <v>185</v>
      </c>
      <c r="J192" s="94">
        <f t="shared" si="53"/>
        <v>7770000</v>
      </c>
      <c r="K192" s="4" t="s">
        <v>186</v>
      </c>
      <c r="L192" s="85" t="s">
        <v>225</v>
      </c>
    </row>
    <row r="193" spans="1:13" ht="17.25" x14ac:dyDescent="0.25">
      <c r="A193" s="230"/>
      <c r="B193" s="77" t="s">
        <v>50</v>
      </c>
      <c r="C193" s="42" t="s">
        <v>49</v>
      </c>
      <c r="D193" s="44">
        <v>46028</v>
      </c>
      <c r="E193" s="44">
        <v>46047</v>
      </c>
      <c r="F193" s="78"/>
      <c r="G193" s="68">
        <v>1700</v>
      </c>
      <c r="H193" s="4">
        <f t="shared" ref="H193:H201" si="54">E193-D193+1</f>
        <v>20</v>
      </c>
      <c r="I193" s="4">
        <v>185</v>
      </c>
      <c r="J193" s="94">
        <f t="shared" ref="J193:J201" si="55">+I193*H193*G193</f>
        <v>6290000</v>
      </c>
      <c r="K193" s="4" t="s">
        <v>188</v>
      </c>
      <c r="L193" s="85" t="s">
        <v>226</v>
      </c>
    </row>
    <row r="194" spans="1:13" ht="17.25" x14ac:dyDescent="0.25">
      <c r="A194" s="230"/>
      <c r="B194" s="77" t="s">
        <v>50</v>
      </c>
      <c r="C194" s="42" t="s">
        <v>49</v>
      </c>
      <c r="D194" s="44">
        <v>46029</v>
      </c>
      <c r="E194" s="44">
        <v>46047</v>
      </c>
      <c r="F194" s="78"/>
      <c r="G194" s="68">
        <v>600</v>
      </c>
      <c r="H194" s="4">
        <f t="shared" si="54"/>
        <v>19</v>
      </c>
      <c r="I194" s="4">
        <v>185</v>
      </c>
      <c r="J194" s="94">
        <f t="shared" si="55"/>
        <v>2109000</v>
      </c>
      <c r="K194" s="4" t="s">
        <v>182</v>
      </c>
      <c r="L194" s="85" t="s">
        <v>228</v>
      </c>
    </row>
    <row r="195" spans="1:13" ht="17.25" x14ac:dyDescent="0.25">
      <c r="A195" s="230"/>
      <c r="B195" s="77" t="s">
        <v>50</v>
      </c>
      <c r="C195" s="42" t="s">
        <v>49</v>
      </c>
      <c r="D195" s="44">
        <v>46032</v>
      </c>
      <c r="E195" s="44">
        <v>46047</v>
      </c>
      <c r="F195" s="78"/>
      <c r="G195" s="68">
        <v>1100</v>
      </c>
      <c r="H195" s="4">
        <f t="shared" si="54"/>
        <v>16</v>
      </c>
      <c r="I195" s="4">
        <v>185</v>
      </c>
      <c r="J195" s="94">
        <f t="shared" si="55"/>
        <v>3256000</v>
      </c>
      <c r="K195" s="4" t="s">
        <v>181</v>
      </c>
      <c r="L195" s="85" t="s">
        <v>230</v>
      </c>
    </row>
    <row r="196" spans="1:13" ht="17.25" x14ac:dyDescent="0.25">
      <c r="A196" s="230"/>
      <c r="B196" s="77" t="s">
        <v>50</v>
      </c>
      <c r="C196" s="42" t="s">
        <v>49</v>
      </c>
      <c r="D196" s="44">
        <v>46034</v>
      </c>
      <c r="E196" s="44">
        <v>46047</v>
      </c>
      <c r="F196" s="78"/>
      <c r="G196" s="68">
        <v>700</v>
      </c>
      <c r="H196" s="4">
        <f t="shared" ref="H196:H199" si="56">E196-D196+1</f>
        <v>14</v>
      </c>
      <c r="I196" s="4">
        <v>185</v>
      </c>
      <c r="J196" s="94">
        <f t="shared" ref="J196:J199" si="57">+I196*H196*G196</f>
        <v>1813000</v>
      </c>
      <c r="K196" s="4" t="s">
        <v>189</v>
      </c>
      <c r="L196" s="85" t="s">
        <v>233</v>
      </c>
    </row>
    <row r="197" spans="1:13" ht="17.25" x14ac:dyDescent="0.25">
      <c r="A197" s="230"/>
      <c r="B197" s="77" t="s">
        <v>50</v>
      </c>
      <c r="C197" s="42" t="s">
        <v>49</v>
      </c>
      <c r="D197" s="44">
        <v>46035</v>
      </c>
      <c r="E197" s="44">
        <v>46047</v>
      </c>
      <c r="F197" s="78"/>
      <c r="G197" s="68">
        <v>1000</v>
      </c>
      <c r="H197" s="4">
        <f t="shared" si="56"/>
        <v>13</v>
      </c>
      <c r="I197" s="4">
        <v>185</v>
      </c>
      <c r="J197" s="94">
        <f t="shared" si="57"/>
        <v>2405000</v>
      </c>
      <c r="K197" s="4" t="s">
        <v>192</v>
      </c>
      <c r="L197" s="85" t="s">
        <v>234</v>
      </c>
    </row>
    <row r="198" spans="1:13" ht="17.25" x14ac:dyDescent="0.25">
      <c r="A198" s="230"/>
      <c r="B198" s="77" t="s">
        <v>50</v>
      </c>
      <c r="C198" s="42" t="s">
        <v>49</v>
      </c>
      <c r="D198" s="44">
        <v>46038</v>
      </c>
      <c r="E198" s="44">
        <v>46047</v>
      </c>
      <c r="F198" s="78"/>
      <c r="G198" s="68">
        <v>1700</v>
      </c>
      <c r="H198" s="4">
        <f t="shared" si="56"/>
        <v>10</v>
      </c>
      <c r="I198" s="4">
        <v>185</v>
      </c>
      <c r="J198" s="94">
        <f t="shared" si="57"/>
        <v>3145000</v>
      </c>
      <c r="K198" s="4" t="s">
        <v>194</v>
      </c>
      <c r="L198" s="85" t="s">
        <v>237</v>
      </c>
    </row>
    <row r="199" spans="1:13" ht="17.25" x14ac:dyDescent="0.25">
      <c r="A199" s="230"/>
      <c r="B199" s="77" t="s">
        <v>50</v>
      </c>
      <c r="C199" s="42" t="s">
        <v>49</v>
      </c>
      <c r="D199" s="44">
        <v>46042</v>
      </c>
      <c r="E199" s="44">
        <v>46047</v>
      </c>
      <c r="F199" s="78"/>
      <c r="G199" s="68">
        <v>1200</v>
      </c>
      <c r="H199" s="4">
        <f t="shared" si="56"/>
        <v>6</v>
      </c>
      <c r="I199" s="4">
        <v>185</v>
      </c>
      <c r="J199" s="94">
        <f t="shared" si="57"/>
        <v>1332000</v>
      </c>
      <c r="K199" s="4" t="s">
        <v>195</v>
      </c>
      <c r="L199" s="85" t="s">
        <v>238</v>
      </c>
    </row>
    <row r="200" spans="1:13" ht="17.25" x14ac:dyDescent="0.25">
      <c r="A200" s="230"/>
      <c r="B200" s="77" t="s">
        <v>50</v>
      </c>
      <c r="C200" s="42" t="s">
        <v>49</v>
      </c>
      <c r="D200" s="44">
        <v>46043</v>
      </c>
      <c r="E200" s="44">
        <v>46047</v>
      </c>
      <c r="F200" s="78"/>
      <c r="G200" s="68">
        <v>1200</v>
      </c>
      <c r="H200" s="4">
        <f t="shared" si="54"/>
        <v>5</v>
      </c>
      <c r="I200" s="4">
        <v>185</v>
      </c>
      <c r="J200" s="94">
        <f t="shared" si="55"/>
        <v>1110000</v>
      </c>
      <c r="K200" s="4" t="s">
        <v>190</v>
      </c>
      <c r="L200" s="85" t="s">
        <v>239</v>
      </c>
    </row>
    <row r="201" spans="1:13" ht="17.25" x14ac:dyDescent="0.25">
      <c r="A201" s="230"/>
      <c r="B201" s="77" t="s">
        <v>50</v>
      </c>
      <c r="C201" s="42" t="s">
        <v>49</v>
      </c>
      <c r="D201" s="44">
        <v>46045</v>
      </c>
      <c r="E201" s="44">
        <v>46047</v>
      </c>
      <c r="F201" s="78"/>
      <c r="G201" s="68">
        <v>1200</v>
      </c>
      <c r="H201" s="4">
        <f t="shared" si="54"/>
        <v>3</v>
      </c>
      <c r="I201" s="4">
        <v>185</v>
      </c>
      <c r="J201" s="94">
        <f t="shared" si="55"/>
        <v>666000</v>
      </c>
      <c r="K201" s="4" t="s">
        <v>182</v>
      </c>
      <c r="L201" s="85" t="s">
        <v>240</v>
      </c>
    </row>
    <row r="202" spans="1:13" ht="17.25" x14ac:dyDescent="0.25">
      <c r="A202" s="230"/>
      <c r="B202" s="77" t="s">
        <v>50</v>
      </c>
      <c r="C202" s="42" t="s">
        <v>49</v>
      </c>
      <c r="D202" s="44">
        <v>46045</v>
      </c>
      <c r="E202" s="44">
        <v>46047</v>
      </c>
      <c r="F202" s="78"/>
      <c r="G202" s="68">
        <v>1200</v>
      </c>
      <c r="H202" s="4">
        <f t="shared" ref="H202:H204" si="58">E202-D202+1</f>
        <v>3</v>
      </c>
      <c r="I202" s="4">
        <v>185</v>
      </c>
      <c r="J202" s="94">
        <f t="shared" ref="J202:J204" si="59">+I202*H202*G202</f>
        <v>666000</v>
      </c>
      <c r="K202" s="4" t="s">
        <v>192</v>
      </c>
      <c r="L202" s="85" t="s">
        <v>241</v>
      </c>
    </row>
    <row r="203" spans="1:13" ht="17.25" x14ac:dyDescent="0.25">
      <c r="A203" s="230"/>
      <c r="B203" s="77" t="s">
        <v>50</v>
      </c>
      <c r="C203" s="42" t="s">
        <v>49</v>
      </c>
      <c r="D203" s="44">
        <v>46047</v>
      </c>
      <c r="E203" s="44">
        <v>46047</v>
      </c>
      <c r="F203" s="78"/>
      <c r="G203" s="68">
        <v>2400</v>
      </c>
      <c r="H203" s="4">
        <f t="shared" si="58"/>
        <v>1</v>
      </c>
      <c r="I203" s="4">
        <v>185</v>
      </c>
      <c r="J203" s="94">
        <f t="shared" si="59"/>
        <v>444000</v>
      </c>
      <c r="K203" s="4" t="s">
        <v>184</v>
      </c>
      <c r="L203" s="85" t="s">
        <v>242</v>
      </c>
    </row>
    <row r="204" spans="1:13" ht="17.25" x14ac:dyDescent="0.25">
      <c r="A204" s="230"/>
      <c r="B204" s="77" t="s">
        <v>50</v>
      </c>
      <c r="C204" s="42" t="s">
        <v>49</v>
      </c>
      <c r="D204" s="44">
        <v>46047</v>
      </c>
      <c r="E204" s="44">
        <v>46047</v>
      </c>
      <c r="F204" s="78"/>
      <c r="G204" s="68">
        <v>1100</v>
      </c>
      <c r="H204" s="4">
        <f t="shared" si="58"/>
        <v>1</v>
      </c>
      <c r="I204" s="4">
        <v>185</v>
      </c>
      <c r="J204" s="94">
        <f t="shared" si="59"/>
        <v>203500</v>
      </c>
      <c r="K204" s="4" t="s">
        <v>196</v>
      </c>
      <c r="L204" s="85" t="s">
        <v>243</v>
      </c>
    </row>
    <row r="205" spans="1:13" ht="16.5" x14ac:dyDescent="0.25">
      <c r="A205" s="225"/>
      <c r="B205" s="211" t="s">
        <v>20</v>
      </c>
      <c r="C205" s="211"/>
      <c r="D205" s="211"/>
      <c r="E205" s="211"/>
      <c r="F205" s="211"/>
      <c r="G205" s="69">
        <f>SUM(G180:G204)</f>
        <v>49247</v>
      </c>
      <c r="H205" s="8"/>
      <c r="I205" s="4"/>
      <c r="J205" s="69">
        <f>+SUBTOTAL(109,J180:J204)</f>
        <v>198323330</v>
      </c>
      <c r="K205" s="4"/>
    </row>
    <row r="206" spans="1:13" ht="17.25" x14ac:dyDescent="0.25">
      <c r="A206" s="224">
        <v>5</v>
      </c>
      <c r="B206" s="77" t="s">
        <v>126</v>
      </c>
      <c r="C206" s="42" t="s">
        <v>24</v>
      </c>
      <c r="D206" s="44">
        <v>46017</v>
      </c>
      <c r="E206" s="44">
        <v>46047</v>
      </c>
      <c r="F206" s="78">
        <v>16500</v>
      </c>
      <c r="G206" s="68">
        <f>+F206</f>
        <v>16500</v>
      </c>
      <c r="H206" s="4">
        <f t="shared" ref="H206:H210" si="60">E206-D206+1</f>
        <v>31</v>
      </c>
      <c r="I206" s="4">
        <v>43</v>
      </c>
      <c r="J206" s="94">
        <f t="shared" ref="J206:J213" si="61">+I206*H206*G206</f>
        <v>21994500</v>
      </c>
      <c r="K206" s="4"/>
    </row>
    <row r="207" spans="1:13" ht="16.5" x14ac:dyDescent="0.25">
      <c r="A207" s="230"/>
      <c r="B207" s="77" t="s">
        <v>126</v>
      </c>
      <c r="C207" s="42" t="s">
        <v>24</v>
      </c>
      <c r="D207" s="44">
        <v>46017</v>
      </c>
      <c r="E207" s="44">
        <v>46047</v>
      </c>
      <c r="F207" s="79"/>
      <c r="G207" s="68">
        <v>2000</v>
      </c>
      <c r="H207" s="4">
        <f t="shared" si="60"/>
        <v>31</v>
      </c>
      <c r="I207" s="4">
        <v>43</v>
      </c>
      <c r="J207" s="94">
        <f t="shared" si="61"/>
        <v>2666000</v>
      </c>
      <c r="K207" s="4" t="s">
        <v>167</v>
      </c>
      <c r="L207" s="85" t="s">
        <v>200</v>
      </c>
      <c r="M207" s="1" t="s">
        <v>199</v>
      </c>
    </row>
    <row r="208" spans="1:13" ht="16.5" x14ac:dyDescent="0.25">
      <c r="A208" s="230"/>
      <c r="B208" s="77" t="s">
        <v>126</v>
      </c>
      <c r="C208" s="42" t="s">
        <v>24</v>
      </c>
      <c r="D208" s="44">
        <v>46019</v>
      </c>
      <c r="E208" s="44">
        <v>46047</v>
      </c>
      <c r="F208" s="79"/>
      <c r="G208" s="68">
        <v>2000</v>
      </c>
      <c r="H208" s="4">
        <f t="shared" si="60"/>
        <v>29</v>
      </c>
      <c r="I208" s="4">
        <v>43</v>
      </c>
      <c r="J208" s="94">
        <f t="shared" si="61"/>
        <v>2494000</v>
      </c>
      <c r="K208" s="4" t="s">
        <v>168</v>
      </c>
      <c r="L208" s="85" t="s">
        <v>209</v>
      </c>
      <c r="M208" s="1" t="s">
        <v>210</v>
      </c>
    </row>
    <row r="209" spans="1:13" ht="16.5" x14ac:dyDescent="0.25">
      <c r="A209" s="230"/>
      <c r="B209" s="77" t="s">
        <v>126</v>
      </c>
      <c r="C209" s="42" t="s">
        <v>24</v>
      </c>
      <c r="D209" s="44">
        <v>46019</v>
      </c>
      <c r="E209" s="44">
        <v>46047</v>
      </c>
      <c r="F209" s="79"/>
      <c r="G209" s="68">
        <v>2000</v>
      </c>
      <c r="H209" s="4">
        <f t="shared" si="60"/>
        <v>29</v>
      </c>
      <c r="I209" s="4">
        <v>43</v>
      </c>
      <c r="J209" s="94">
        <f t="shared" si="61"/>
        <v>2494000</v>
      </c>
      <c r="K209" s="4" t="s">
        <v>169</v>
      </c>
      <c r="L209" s="85" t="s">
        <v>211</v>
      </c>
      <c r="M209" s="1" t="s">
        <v>169</v>
      </c>
    </row>
    <row r="210" spans="1:13" ht="16.5" x14ac:dyDescent="0.25">
      <c r="A210" s="230"/>
      <c r="B210" s="77" t="s">
        <v>126</v>
      </c>
      <c r="C210" s="42" t="s">
        <v>24</v>
      </c>
      <c r="D210" s="44">
        <v>46021</v>
      </c>
      <c r="E210" s="44">
        <v>46047</v>
      </c>
      <c r="F210" s="79"/>
      <c r="G210" s="68">
        <v>2000</v>
      </c>
      <c r="H210" s="4">
        <f t="shared" si="60"/>
        <v>27</v>
      </c>
      <c r="I210" s="4">
        <v>43</v>
      </c>
      <c r="J210" s="94">
        <f t="shared" si="61"/>
        <v>2322000</v>
      </c>
      <c r="K210" s="4" t="s">
        <v>178</v>
      </c>
      <c r="L210" s="85" t="s">
        <v>214</v>
      </c>
      <c r="M210" s="1" t="s">
        <v>178</v>
      </c>
    </row>
    <row r="211" spans="1:13" ht="16.5" x14ac:dyDescent="0.25">
      <c r="A211" s="230"/>
      <c r="B211" s="77" t="s">
        <v>126</v>
      </c>
      <c r="C211" s="42" t="s">
        <v>24</v>
      </c>
      <c r="D211" s="44">
        <v>46022</v>
      </c>
      <c r="E211" s="44">
        <v>46047</v>
      </c>
      <c r="F211" s="79"/>
      <c r="G211" s="68">
        <v>2000</v>
      </c>
      <c r="H211" s="4">
        <f t="shared" ref="H211:H213" si="62">E211-D211+1</f>
        <v>26</v>
      </c>
      <c r="I211" s="4">
        <v>43</v>
      </c>
      <c r="J211" s="94">
        <f t="shared" si="61"/>
        <v>2236000</v>
      </c>
      <c r="K211" s="4" t="s">
        <v>169</v>
      </c>
      <c r="L211" s="85" t="s">
        <v>215</v>
      </c>
      <c r="M211" s="1" t="s">
        <v>169</v>
      </c>
    </row>
    <row r="212" spans="1:13" ht="16.5" x14ac:dyDescent="0.25">
      <c r="A212" s="230"/>
      <c r="B212" s="77" t="s">
        <v>126</v>
      </c>
      <c r="C212" s="42" t="s">
        <v>24</v>
      </c>
      <c r="D212" s="44">
        <v>46024</v>
      </c>
      <c r="E212" s="44">
        <v>46047</v>
      </c>
      <c r="F212" s="79"/>
      <c r="G212" s="68">
        <v>3000</v>
      </c>
      <c r="H212" s="4">
        <f t="shared" si="62"/>
        <v>24</v>
      </c>
      <c r="I212" s="4">
        <v>43</v>
      </c>
      <c r="J212" s="94">
        <f t="shared" si="61"/>
        <v>3096000</v>
      </c>
      <c r="K212" s="4" t="s">
        <v>182</v>
      </c>
      <c r="L212" s="85" t="s">
        <v>220</v>
      </c>
    </row>
    <row r="213" spans="1:13" ht="16.5" x14ac:dyDescent="0.25">
      <c r="A213" s="230"/>
      <c r="B213" s="77" t="s">
        <v>126</v>
      </c>
      <c r="C213" s="42" t="s">
        <v>24</v>
      </c>
      <c r="D213" s="44">
        <v>46029</v>
      </c>
      <c r="E213" s="44">
        <v>46047</v>
      </c>
      <c r="F213" s="79"/>
      <c r="G213" s="68">
        <v>2000</v>
      </c>
      <c r="H213" s="4">
        <f t="shared" si="62"/>
        <v>19</v>
      </c>
      <c r="I213" s="4">
        <v>43</v>
      </c>
      <c r="J213" s="94">
        <f t="shared" si="61"/>
        <v>1634000</v>
      </c>
      <c r="K213" s="4" t="s">
        <v>189</v>
      </c>
      <c r="L213" s="85" t="s">
        <v>227</v>
      </c>
    </row>
    <row r="214" spans="1:13" ht="16.5" x14ac:dyDescent="0.25">
      <c r="A214" s="225"/>
      <c r="B214" s="226" t="s">
        <v>20</v>
      </c>
      <c r="C214" s="227"/>
      <c r="D214" s="227"/>
      <c r="E214" s="227"/>
      <c r="F214" s="228"/>
      <c r="G214" s="69">
        <f>SUM(G206:G213)</f>
        <v>31500</v>
      </c>
      <c r="H214" s="8"/>
      <c r="I214" s="4"/>
      <c r="J214" s="69">
        <f>+SUBTOTAL(109,J206:J213)</f>
        <v>38936500</v>
      </c>
      <c r="K214" s="4"/>
    </row>
    <row r="215" spans="1:13" ht="17.25" x14ac:dyDescent="0.25">
      <c r="A215" s="224">
        <v>6</v>
      </c>
      <c r="B215" s="77" t="s">
        <v>149</v>
      </c>
      <c r="C215" s="42" t="s">
        <v>24</v>
      </c>
      <c r="D215" s="44">
        <v>46017</v>
      </c>
      <c r="E215" s="44">
        <v>46047</v>
      </c>
      <c r="F215" s="78">
        <v>11160</v>
      </c>
      <c r="G215" s="68">
        <f>+F215</f>
        <v>11160</v>
      </c>
      <c r="H215" s="4">
        <f t="shared" ref="H215:H220" si="63">E215-D215+1</f>
        <v>31</v>
      </c>
      <c r="I215" s="4">
        <v>55</v>
      </c>
      <c r="J215" s="94">
        <f t="shared" ref="J215:J220" si="64">+I215*H215*G215</f>
        <v>19027800</v>
      </c>
      <c r="K215" s="4"/>
    </row>
    <row r="216" spans="1:13" ht="16.5" x14ac:dyDescent="0.25">
      <c r="A216" s="230"/>
      <c r="B216" s="77" t="s">
        <v>149</v>
      </c>
      <c r="C216" s="42" t="s">
        <v>24</v>
      </c>
      <c r="D216" s="44">
        <v>46027</v>
      </c>
      <c r="E216" s="44">
        <v>46047</v>
      </c>
      <c r="F216" s="79"/>
      <c r="G216" s="68">
        <v>280</v>
      </c>
      <c r="H216" s="4">
        <f t="shared" si="63"/>
        <v>21</v>
      </c>
      <c r="I216" s="4">
        <v>55</v>
      </c>
      <c r="J216" s="94">
        <f t="shared" si="64"/>
        <v>323400</v>
      </c>
      <c r="K216" s="4" t="s">
        <v>185</v>
      </c>
      <c r="L216" s="85" t="s">
        <v>224</v>
      </c>
    </row>
    <row r="217" spans="1:13" ht="16.5" x14ac:dyDescent="0.25">
      <c r="A217" s="230"/>
      <c r="B217" s="77" t="s">
        <v>149</v>
      </c>
      <c r="C217" s="42" t="s">
        <v>24</v>
      </c>
      <c r="D217" s="44">
        <v>46027</v>
      </c>
      <c r="E217" s="44">
        <v>46047</v>
      </c>
      <c r="F217" s="79"/>
      <c r="G217" s="68">
        <v>400</v>
      </c>
      <c r="H217" s="4">
        <f t="shared" si="63"/>
        <v>21</v>
      </c>
      <c r="I217" s="4">
        <v>55</v>
      </c>
      <c r="J217" s="94">
        <f t="shared" si="64"/>
        <v>462000</v>
      </c>
      <c r="K217" s="4" t="s">
        <v>186</v>
      </c>
      <c r="L217" s="85" t="s">
        <v>225</v>
      </c>
    </row>
    <row r="218" spans="1:13" ht="16.5" x14ac:dyDescent="0.25">
      <c r="A218" s="230"/>
      <c r="B218" s="77" t="s">
        <v>149</v>
      </c>
      <c r="C218" s="42" t="s">
        <v>24</v>
      </c>
      <c r="D218" s="44">
        <v>46028</v>
      </c>
      <c r="E218" s="44">
        <v>46047</v>
      </c>
      <c r="F218" s="79"/>
      <c r="G218" s="70">
        <v>1600</v>
      </c>
      <c r="H218" s="4">
        <f t="shared" si="63"/>
        <v>20</v>
      </c>
      <c r="I218" s="4">
        <v>55</v>
      </c>
      <c r="J218" s="94">
        <f t="shared" si="64"/>
        <v>1760000</v>
      </c>
      <c r="K218" s="4" t="s">
        <v>188</v>
      </c>
      <c r="L218" s="85" t="s">
        <v>226</v>
      </c>
    </row>
    <row r="219" spans="1:13" ht="17.25" x14ac:dyDescent="0.25">
      <c r="A219" s="230"/>
      <c r="B219" s="77" t="s">
        <v>149</v>
      </c>
      <c r="C219" s="42" t="s">
        <v>24</v>
      </c>
      <c r="D219" s="44">
        <v>46034</v>
      </c>
      <c r="E219" s="44">
        <v>46047</v>
      </c>
      <c r="F219" s="78"/>
      <c r="G219" s="68">
        <v>400</v>
      </c>
      <c r="H219" s="4">
        <f t="shared" si="63"/>
        <v>14</v>
      </c>
      <c r="I219" s="4">
        <v>55</v>
      </c>
      <c r="J219" s="94">
        <f t="shared" si="64"/>
        <v>308000</v>
      </c>
      <c r="K219" s="4" t="s">
        <v>189</v>
      </c>
      <c r="L219" s="85" t="s">
        <v>233</v>
      </c>
    </row>
    <row r="220" spans="1:13" ht="17.25" x14ac:dyDescent="0.25">
      <c r="A220" s="230"/>
      <c r="B220" s="77" t="s">
        <v>149</v>
      </c>
      <c r="C220" s="42" t="s">
        <v>24</v>
      </c>
      <c r="D220" s="44">
        <v>46034</v>
      </c>
      <c r="E220" s="44">
        <v>46047</v>
      </c>
      <c r="F220" s="78"/>
      <c r="G220" s="68">
        <v>2400</v>
      </c>
      <c r="H220" s="4">
        <f t="shared" si="63"/>
        <v>14</v>
      </c>
      <c r="I220" s="4">
        <v>55</v>
      </c>
      <c r="J220" s="94">
        <f t="shared" si="64"/>
        <v>1848000</v>
      </c>
      <c r="K220" s="4" t="s">
        <v>191</v>
      </c>
      <c r="L220" s="85" t="s">
        <v>232</v>
      </c>
    </row>
    <row r="221" spans="1:13" ht="17.25" x14ac:dyDescent="0.25">
      <c r="A221" s="230"/>
      <c r="B221" s="77" t="s">
        <v>149</v>
      </c>
      <c r="C221" s="42" t="s">
        <v>24</v>
      </c>
      <c r="D221" s="44">
        <v>46045</v>
      </c>
      <c r="E221" s="44">
        <v>46047</v>
      </c>
      <c r="F221" s="81"/>
      <c r="G221" s="68">
        <v>1200</v>
      </c>
      <c r="H221" s="4">
        <f t="shared" ref="H221:H222" si="65">E221-D221+1</f>
        <v>3</v>
      </c>
      <c r="I221" s="4">
        <v>55</v>
      </c>
      <c r="J221" s="94">
        <f t="shared" ref="J221:J222" si="66">+I221*H221*G221</f>
        <v>198000</v>
      </c>
      <c r="K221" s="4" t="s">
        <v>182</v>
      </c>
      <c r="L221" s="85" t="s">
        <v>240</v>
      </c>
    </row>
    <row r="222" spans="1:13" ht="17.25" x14ac:dyDescent="0.25">
      <c r="A222" s="230"/>
      <c r="B222" s="77" t="s">
        <v>149</v>
      </c>
      <c r="C222" s="42" t="s">
        <v>24</v>
      </c>
      <c r="D222" s="44">
        <v>46045</v>
      </c>
      <c r="E222" s="44">
        <v>46047</v>
      </c>
      <c r="F222" s="81"/>
      <c r="G222" s="68">
        <v>3600</v>
      </c>
      <c r="H222" s="4">
        <f t="shared" si="65"/>
        <v>3</v>
      </c>
      <c r="I222" s="4">
        <v>55</v>
      </c>
      <c r="J222" s="94">
        <f t="shared" si="66"/>
        <v>594000</v>
      </c>
      <c r="K222" s="4" t="s">
        <v>192</v>
      </c>
      <c r="L222" s="85" t="s">
        <v>241</v>
      </c>
    </row>
    <row r="223" spans="1:13" ht="16.5" x14ac:dyDescent="0.25">
      <c r="A223" s="225"/>
      <c r="B223" s="226" t="s">
        <v>20</v>
      </c>
      <c r="C223" s="227"/>
      <c r="D223" s="227"/>
      <c r="E223" s="227"/>
      <c r="F223" s="228"/>
      <c r="G223" s="69">
        <f>SUM(G215:G222)</f>
        <v>21040</v>
      </c>
      <c r="H223" s="8"/>
      <c r="I223" s="4"/>
      <c r="J223" s="69">
        <f>+SUBTOTAL(109,J215:J222)</f>
        <v>24521200</v>
      </c>
      <c r="K223" s="4"/>
    </row>
    <row r="224" spans="1:13" ht="17.25" x14ac:dyDescent="0.25">
      <c r="A224" s="224">
        <v>7</v>
      </c>
      <c r="B224" s="77" t="s">
        <v>0</v>
      </c>
      <c r="C224" s="42" t="s">
        <v>24</v>
      </c>
      <c r="D224" s="44">
        <v>46017</v>
      </c>
      <c r="E224" s="44">
        <v>46047</v>
      </c>
      <c r="F224" s="78">
        <v>60715</v>
      </c>
      <c r="G224" s="68">
        <v>60715</v>
      </c>
      <c r="H224" s="4">
        <f t="shared" ref="H224:H238" si="67">E224-D224+1</f>
        <v>31</v>
      </c>
      <c r="I224" s="4">
        <v>71</v>
      </c>
      <c r="J224" s="94">
        <f t="shared" ref="J224:J238" si="68">+I224*H224*G224</f>
        <v>133633715</v>
      </c>
      <c r="K224" s="4"/>
    </row>
    <row r="225" spans="1:13" ht="17.25" x14ac:dyDescent="0.25">
      <c r="A225" s="230"/>
      <c r="B225" s="77" t="s">
        <v>0</v>
      </c>
      <c r="C225" s="42" t="s">
        <v>24</v>
      </c>
      <c r="D225" s="44">
        <v>46018</v>
      </c>
      <c r="E225" s="44">
        <v>46047</v>
      </c>
      <c r="F225" s="78"/>
      <c r="G225" s="68">
        <v>9480</v>
      </c>
      <c r="H225" s="4">
        <f t="shared" si="67"/>
        <v>30</v>
      </c>
      <c r="I225" s="4">
        <v>71</v>
      </c>
      <c r="J225" s="94">
        <f t="shared" si="68"/>
        <v>20192400</v>
      </c>
      <c r="K225" s="4" t="s">
        <v>164</v>
      </c>
      <c r="L225" s="85" t="s">
        <v>201</v>
      </c>
      <c r="M225" s="1" t="s">
        <v>202</v>
      </c>
    </row>
    <row r="226" spans="1:13" ht="17.25" x14ac:dyDescent="0.25">
      <c r="A226" s="230"/>
      <c r="B226" s="77" t="s">
        <v>0</v>
      </c>
      <c r="C226" s="42" t="s">
        <v>24</v>
      </c>
      <c r="D226" s="44">
        <v>46018</v>
      </c>
      <c r="E226" s="44">
        <v>46047</v>
      </c>
      <c r="F226" s="78"/>
      <c r="G226" s="68">
        <v>3994</v>
      </c>
      <c r="H226" s="4">
        <f t="shared" si="67"/>
        <v>30</v>
      </c>
      <c r="I226" s="4">
        <v>71</v>
      </c>
      <c r="J226" s="94">
        <f t="shared" si="68"/>
        <v>8507220</v>
      </c>
      <c r="K226" s="4" t="s">
        <v>165</v>
      </c>
      <c r="L226" s="85" t="s">
        <v>203</v>
      </c>
      <c r="M226" s="1" t="s">
        <v>204</v>
      </c>
    </row>
    <row r="227" spans="1:13" ht="17.25" x14ac:dyDescent="0.25">
      <c r="A227" s="230"/>
      <c r="B227" s="77" t="s">
        <v>0</v>
      </c>
      <c r="C227" s="42" t="s">
        <v>24</v>
      </c>
      <c r="D227" s="44">
        <v>46018</v>
      </c>
      <c r="E227" s="44">
        <v>46047</v>
      </c>
      <c r="F227" s="78"/>
      <c r="G227" s="68">
        <v>3696</v>
      </c>
      <c r="H227" s="4">
        <f t="shared" si="67"/>
        <v>30</v>
      </c>
      <c r="I227" s="4">
        <v>71</v>
      </c>
      <c r="J227" s="94">
        <f t="shared" si="68"/>
        <v>7872480</v>
      </c>
      <c r="K227" s="4" t="s">
        <v>167</v>
      </c>
      <c r="L227" s="85" t="s">
        <v>206</v>
      </c>
      <c r="M227" s="1" t="s">
        <v>205</v>
      </c>
    </row>
    <row r="228" spans="1:13" ht="17.25" x14ac:dyDescent="0.25">
      <c r="A228" s="230"/>
      <c r="B228" s="77" t="s">
        <v>0</v>
      </c>
      <c r="C228" s="42" t="s">
        <v>24</v>
      </c>
      <c r="D228" s="44">
        <v>46017</v>
      </c>
      <c r="E228" s="44">
        <v>46047</v>
      </c>
      <c r="F228" s="78"/>
      <c r="G228" s="68">
        <v>3696</v>
      </c>
      <c r="H228" s="4">
        <f t="shared" si="67"/>
        <v>31</v>
      </c>
      <c r="I228" s="4">
        <v>71</v>
      </c>
      <c r="J228" s="94">
        <f t="shared" si="68"/>
        <v>8134896</v>
      </c>
      <c r="K228" s="4" t="s">
        <v>166</v>
      </c>
      <c r="L228" s="85" t="s">
        <v>200</v>
      </c>
      <c r="M228" s="1" t="s">
        <v>199</v>
      </c>
    </row>
    <row r="229" spans="1:13" ht="17.25" x14ac:dyDescent="0.25">
      <c r="A229" s="230"/>
      <c r="B229" s="77" t="s">
        <v>0</v>
      </c>
      <c r="C229" s="42" t="s">
        <v>24</v>
      </c>
      <c r="D229" s="44">
        <v>46019</v>
      </c>
      <c r="E229" s="44">
        <v>46047</v>
      </c>
      <c r="F229" s="78"/>
      <c r="G229" s="68">
        <v>5000</v>
      </c>
      <c r="H229" s="4">
        <f t="shared" si="67"/>
        <v>29</v>
      </c>
      <c r="I229" s="4">
        <v>71</v>
      </c>
      <c r="J229" s="94">
        <f t="shared" si="68"/>
        <v>10295000</v>
      </c>
      <c r="K229" s="4" t="s">
        <v>187</v>
      </c>
      <c r="L229" s="85" t="s">
        <v>207</v>
      </c>
      <c r="M229" s="1" t="s">
        <v>208</v>
      </c>
    </row>
    <row r="230" spans="1:13" ht="17.25" x14ac:dyDescent="0.25">
      <c r="A230" s="230"/>
      <c r="B230" s="77" t="s">
        <v>0</v>
      </c>
      <c r="C230" s="42" t="s">
        <v>24</v>
      </c>
      <c r="D230" s="44">
        <v>46019</v>
      </c>
      <c r="E230" s="44">
        <v>46047</v>
      </c>
      <c r="F230" s="78"/>
      <c r="G230" s="68">
        <v>3696</v>
      </c>
      <c r="H230" s="4">
        <f t="shared" si="67"/>
        <v>29</v>
      </c>
      <c r="I230" s="4">
        <v>71</v>
      </c>
      <c r="J230" s="94">
        <f t="shared" si="68"/>
        <v>7610064</v>
      </c>
      <c r="K230" s="4" t="s">
        <v>168</v>
      </c>
      <c r="L230" s="85" t="s">
        <v>209</v>
      </c>
      <c r="M230" s="1" t="s">
        <v>210</v>
      </c>
    </row>
    <row r="231" spans="1:13" ht="17.25" x14ac:dyDescent="0.25">
      <c r="A231" s="230"/>
      <c r="B231" s="77" t="s">
        <v>0</v>
      </c>
      <c r="C231" s="42" t="s">
        <v>24</v>
      </c>
      <c r="D231" s="44">
        <v>46019</v>
      </c>
      <c r="E231" s="44">
        <v>46047</v>
      </c>
      <c r="F231" s="78"/>
      <c r="G231" s="68">
        <v>3696</v>
      </c>
      <c r="H231" s="4">
        <f t="shared" si="67"/>
        <v>29</v>
      </c>
      <c r="I231" s="4">
        <v>71</v>
      </c>
      <c r="J231" s="94">
        <f t="shared" si="68"/>
        <v>7610064</v>
      </c>
      <c r="K231" s="4" t="s">
        <v>169</v>
      </c>
      <c r="L231" s="85" t="s">
        <v>211</v>
      </c>
      <c r="M231" s="1" t="s">
        <v>169</v>
      </c>
    </row>
    <row r="232" spans="1:13" ht="17.25" x14ac:dyDescent="0.25">
      <c r="A232" s="230"/>
      <c r="B232" s="77" t="s">
        <v>0</v>
      </c>
      <c r="C232" s="42" t="s">
        <v>24</v>
      </c>
      <c r="D232" s="44">
        <v>46022</v>
      </c>
      <c r="E232" s="44">
        <v>46047</v>
      </c>
      <c r="F232" s="78"/>
      <c r="G232" s="68">
        <v>5000</v>
      </c>
      <c r="H232" s="4">
        <f t="shared" si="67"/>
        <v>26</v>
      </c>
      <c r="I232" s="4">
        <v>71</v>
      </c>
      <c r="J232" s="94">
        <f t="shared" si="68"/>
        <v>9230000</v>
      </c>
      <c r="K232" s="4" t="s">
        <v>179</v>
      </c>
      <c r="L232" s="85" t="s">
        <v>217</v>
      </c>
      <c r="M232" s="1" t="s">
        <v>179</v>
      </c>
    </row>
    <row r="233" spans="1:13" ht="17.25" x14ac:dyDescent="0.25">
      <c r="A233" s="230"/>
      <c r="B233" s="77" t="s">
        <v>0</v>
      </c>
      <c r="C233" s="42" t="s">
        <v>24</v>
      </c>
      <c r="D233" s="44">
        <v>46021</v>
      </c>
      <c r="E233" s="44">
        <v>46047</v>
      </c>
      <c r="F233" s="78"/>
      <c r="G233" s="68">
        <v>3696</v>
      </c>
      <c r="H233" s="4">
        <f t="shared" si="67"/>
        <v>27</v>
      </c>
      <c r="I233" s="4">
        <v>71</v>
      </c>
      <c r="J233" s="94">
        <f t="shared" si="68"/>
        <v>7085232</v>
      </c>
      <c r="K233" s="4" t="s">
        <v>170</v>
      </c>
      <c r="L233" s="85" t="s">
        <v>213</v>
      </c>
      <c r="M233" s="85" t="s">
        <v>212</v>
      </c>
    </row>
    <row r="234" spans="1:13" ht="17.25" x14ac:dyDescent="0.25">
      <c r="A234" s="230"/>
      <c r="B234" s="77" t="s">
        <v>0</v>
      </c>
      <c r="C234" s="42" t="s">
        <v>24</v>
      </c>
      <c r="D234" s="44">
        <v>46021</v>
      </c>
      <c r="E234" s="44">
        <v>46047</v>
      </c>
      <c r="F234" s="78"/>
      <c r="G234" s="68">
        <v>3696</v>
      </c>
      <c r="H234" s="4">
        <f t="shared" si="67"/>
        <v>27</v>
      </c>
      <c r="I234" s="4">
        <v>71</v>
      </c>
      <c r="J234" s="94">
        <f t="shared" si="68"/>
        <v>7085232</v>
      </c>
      <c r="K234" s="4" t="s">
        <v>178</v>
      </c>
      <c r="L234" s="85" t="s">
        <v>214</v>
      </c>
      <c r="M234" s="1" t="s">
        <v>178</v>
      </c>
    </row>
    <row r="235" spans="1:13" ht="17.25" x14ac:dyDescent="0.25">
      <c r="A235" s="230"/>
      <c r="B235" s="77" t="s">
        <v>0</v>
      </c>
      <c r="C235" s="42" t="s">
        <v>24</v>
      </c>
      <c r="D235" s="44">
        <v>46022</v>
      </c>
      <c r="E235" s="44">
        <v>46047</v>
      </c>
      <c r="F235" s="78"/>
      <c r="G235" s="68">
        <v>5000</v>
      </c>
      <c r="H235" s="4">
        <f t="shared" si="67"/>
        <v>26</v>
      </c>
      <c r="I235" s="4">
        <v>71</v>
      </c>
      <c r="J235" s="94">
        <f t="shared" si="68"/>
        <v>9230000</v>
      </c>
      <c r="K235" s="4" t="s">
        <v>180</v>
      </c>
      <c r="L235" s="85" t="s">
        <v>218</v>
      </c>
      <c r="M235" s="1" t="s">
        <v>180</v>
      </c>
    </row>
    <row r="236" spans="1:13" ht="17.25" x14ac:dyDescent="0.25">
      <c r="A236" s="230"/>
      <c r="B236" s="77" t="s">
        <v>0</v>
      </c>
      <c r="C236" s="42" t="s">
        <v>24</v>
      </c>
      <c r="D236" s="44">
        <v>46022</v>
      </c>
      <c r="E236" s="44">
        <v>46047</v>
      </c>
      <c r="F236" s="78"/>
      <c r="G236" s="68">
        <v>4620</v>
      </c>
      <c r="H236" s="4">
        <f t="shared" si="67"/>
        <v>26</v>
      </c>
      <c r="I236" s="4">
        <v>71</v>
      </c>
      <c r="J236" s="94">
        <f t="shared" si="68"/>
        <v>8528520</v>
      </c>
      <c r="K236" s="4" t="s">
        <v>181</v>
      </c>
      <c r="L236" s="85" t="s">
        <v>216</v>
      </c>
      <c r="M236" s="1" t="s">
        <v>181</v>
      </c>
    </row>
    <row r="237" spans="1:13" ht="17.25" x14ac:dyDescent="0.25">
      <c r="A237" s="230"/>
      <c r="B237" s="77" t="s">
        <v>0</v>
      </c>
      <c r="C237" s="42" t="s">
        <v>24</v>
      </c>
      <c r="D237" s="44">
        <v>46022</v>
      </c>
      <c r="E237" s="44">
        <v>46047</v>
      </c>
      <c r="F237" s="78"/>
      <c r="G237" s="68">
        <v>3696</v>
      </c>
      <c r="H237" s="4">
        <f t="shared" si="67"/>
        <v>26</v>
      </c>
      <c r="I237" s="4">
        <v>71</v>
      </c>
      <c r="J237" s="94">
        <f t="shared" si="68"/>
        <v>6822816</v>
      </c>
      <c r="K237" s="4" t="s">
        <v>169</v>
      </c>
      <c r="L237" s="85" t="s">
        <v>215</v>
      </c>
      <c r="M237" s="1" t="s">
        <v>169</v>
      </c>
    </row>
    <row r="238" spans="1:13" ht="17.25" x14ac:dyDescent="0.25">
      <c r="A238" s="230"/>
      <c r="B238" s="77" t="s">
        <v>0</v>
      </c>
      <c r="C238" s="42" t="s">
        <v>24</v>
      </c>
      <c r="D238" s="44">
        <v>46024</v>
      </c>
      <c r="E238" s="44">
        <v>46047</v>
      </c>
      <c r="F238" s="78"/>
      <c r="G238" s="68">
        <v>3696</v>
      </c>
      <c r="H238" s="4">
        <f t="shared" si="67"/>
        <v>24</v>
      </c>
      <c r="I238" s="4">
        <v>71</v>
      </c>
      <c r="J238" s="94">
        <f t="shared" si="68"/>
        <v>6297984</v>
      </c>
      <c r="K238" s="4" t="s">
        <v>182</v>
      </c>
      <c r="L238" s="85" t="s">
        <v>220</v>
      </c>
    </row>
    <row r="239" spans="1:13" ht="17.25" x14ac:dyDescent="0.25">
      <c r="A239" s="230"/>
      <c r="B239" s="77" t="s">
        <v>0</v>
      </c>
      <c r="C239" s="42" t="s">
        <v>24</v>
      </c>
      <c r="D239" s="44">
        <v>46024</v>
      </c>
      <c r="E239" s="44">
        <v>46047</v>
      </c>
      <c r="F239" s="78"/>
      <c r="G239" s="68">
        <v>5000</v>
      </c>
      <c r="H239" s="4">
        <f t="shared" ref="H239:H242" si="69">E239-D239+1</f>
        <v>24</v>
      </c>
      <c r="I239" s="4">
        <v>71</v>
      </c>
      <c r="J239" s="94">
        <f t="shared" ref="J239:J242" si="70">+I239*H239*G239</f>
        <v>8520000</v>
      </c>
      <c r="K239" s="4" t="s">
        <v>180</v>
      </c>
      <c r="L239" s="85" t="s">
        <v>219</v>
      </c>
    </row>
    <row r="240" spans="1:13" ht="17.25" x14ac:dyDescent="0.25">
      <c r="A240" s="230"/>
      <c r="B240" s="77" t="s">
        <v>0</v>
      </c>
      <c r="C240" s="42" t="s">
        <v>24</v>
      </c>
      <c r="D240" s="44">
        <v>46026</v>
      </c>
      <c r="E240" s="44">
        <v>46047</v>
      </c>
      <c r="F240" s="78"/>
      <c r="G240" s="68">
        <v>2772</v>
      </c>
      <c r="H240" s="4">
        <f t="shared" si="69"/>
        <v>22</v>
      </c>
      <c r="I240" s="4">
        <v>71</v>
      </c>
      <c r="J240" s="94">
        <f t="shared" si="70"/>
        <v>4329864</v>
      </c>
      <c r="K240" s="4" t="s">
        <v>184</v>
      </c>
      <c r="L240" s="85" t="s">
        <v>223</v>
      </c>
    </row>
    <row r="241" spans="1:12" ht="17.25" x14ac:dyDescent="0.25">
      <c r="A241" s="230"/>
      <c r="B241" s="77" t="s">
        <v>0</v>
      </c>
      <c r="C241" s="42" t="s">
        <v>24</v>
      </c>
      <c r="D241" s="44">
        <v>46025</v>
      </c>
      <c r="E241" s="44">
        <v>46047</v>
      </c>
      <c r="F241" s="78"/>
      <c r="G241" s="68">
        <v>3696</v>
      </c>
      <c r="H241" s="4">
        <f t="shared" si="69"/>
        <v>23</v>
      </c>
      <c r="I241" s="4">
        <v>71</v>
      </c>
      <c r="J241" s="94">
        <f t="shared" si="70"/>
        <v>6035568</v>
      </c>
      <c r="K241" s="4" t="s">
        <v>183</v>
      </c>
      <c r="L241" s="85" t="s">
        <v>221</v>
      </c>
    </row>
    <row r="242" spans="1:12" ht="17.25" x14ac:dyDescent="0.25">
      <c r="A242" s="230"/>
      <c r="B242" s="77" t="s">
        <v>0</v>
      </c>
      <c r="C242" s="42" t="s">
        <v>24</v>
      </c>
      <c r="D242" s="44">
        <v>46027</v>
      </c>
      <c r="E242" s="44">
        <v>46047</v>
      </c>
      <c r="F242" s="78"/>
      <c r="G242" s="68">
        <v>2646</v>
      </c>
      <c r="H242" s="4">
        <f t="shared" si="69"/>
        <v>21</v>
      </c>
      <c r="I242" s="4">
        <v>71</v>
      </c>
      <c r="J242" s="94">
        <f t="shared" si="70"/>
        <v>3945186</v>
      </c>
      <c r="K242" s="4" t="s">
        <v>185</v>
      </c>
      <c r="L242" s="85" t="s">
        <v>224</v>
      </c>
    </row>
    <row r="243" spans="1:12" ht="17.25" x14ac:dyDescent="0.25">
      <c r="A243" s="230"/>
      <c r="B243" s="77" t="s">
        <v>0</v>
      </c>
      <c r="C243" s="42" t="s">
        <v>24</v>
      </c>
      <c r="D243" s="44">
        <v>46029</v>
      </c>
      <c r="E243" s="44">
        <v>46047</v>
      </c>
      <c r="F243" s="78"/>
      <c r="G243" s="68">
        <v>3696</v>
      </c>
      <c r="H243" s="4">
        <f t="shared" ref="H243:H254" si="71">E243-D243+1</f>
        <v>19</v>
      </c>
      <c r="I243" s="4">
        <v>71</v>
      </c>
      <c r="J243" s="94">
        <f t="shared" ref="J243:J254" si="72">+I243*H243*G243</f>
        <v>4985904</v>
      </c>
      <c r="K243" s="4" t="s">
        <v>182</v>
      </c>
      <c r="L243" s="85" t="s">
        <v>228</v>
      </c>
    </row>
    <row r="244" spans="1:12" ht="17.25" x14ac:dyDescent="0.25">
      <c r="A244" s="230"/>
      <c r="B244" s="77" t="s">
        <v>0</v>
      </c>
      <c r="C244" s="42" t="s">
        <v>24</v>
      </c>
      <c r="D244" s="44">
        <v>46028</v>
      </c>
      <c r="E244" s="44">
        <v>46047</v>
      </c>
      <c r="F244" s="78"/>
      <c r="G244" s="68">
        <v>3696</v>
      </c>
      <c r="H244" s="4">
        <f t="shared" si="71"/>
        <v>20</v>
      </c>
      <c r="I244" s="4">
        <v>71</v>
      </c>
      <c r="J244" s="94">
        <f t="shared" si="72"/>
        <v>5248320</v>
      </c>
      <c r="K244" s="4" t="s">
        <v>188</v>
      </c>
      <c r="L244" s="85" t="s">
        <v>226</v>
      </c>
    </row>
    <row r="245" spans="1:12" ht="17.25" x14ac:dyDescent="0.25">
      <c r="A245" s="230"/>
      <c r="B245" s="77" t="s">
        <v>0</v>
      </c>
      <c r="C245" s="42" t="s">
        <v>24</v>
      </c>
      <c r="D245" s="44">
        <v>46029</v>
      </c>
      <c r="E245" s="44">
        <v>46047</v>
      </c>
      <c r="F245" s="78"/>
      <c r="G245" s="68">
        <v>3696</v>
      </c>
      <c r="H245" s="4">
        <f t="shared" si="71"/>
        <v>19</v>
      </c>
      <c r="I245" s="4">
        <v>71</v>
      </c>
      <c r="J245" s="94">
        <f t="shared" si="72"/>
        <v>4985904</v>
      </c>
      <c r="K245" s="4" t="s">
        <v>189</v>
      </c>
      <c r="L245" s="85" t="s">
        <v>227</v>
      </c>
    </row>
    <row r="246" spans="1:12" ht="17.25" x14ac:dyDescent="0.25">
      <c r="A246" s="230"/>
      <c r="B246" s="77" t="s">
        <v>0</v>
      </c>
      <c r="C246" s="42" t="s">
        <v>24</v>
      </c>
      <c r="D246" s="44">
        <v>46031</v>
      </c>
      <c r="E246" s="44">
        <v>46047</v>
      </c>
      <c r="F246" s="78"/>
      <c r="G246" s="68">
        <v>10000</v>
      </c>
      <c r="H246" s="4">
        <f t="shared" si="71"/>
        <v>17</v>
      </c>
      <c r="I246" s="4">
        <v>71</v>
      </c>
      <c r="J246" s="94">
        <f t="shared" si="72"/>
        <v>12070000</v>
      </c>
      <c r="K246" s="4" t="s">
        <v>182</v>
      </c>
      <c r="L246" s="85" t="s">
        <v>229</v>
      </c>
    </row>
    <row r="247" spans="1:12" ht="17.25" x14ac:dyDescent="0.25">
      <c r="A247" s="230"/>
      <c r="B247" s="77" t="s">
        <v>0</v>
      </c>
      <c r="C247" s="42" t="s">
        <v>24</v>
      </c>
      <c r="D247" s="44">
        <v>46032</v>
      </c>
      <c r="E247" s="44">
        <v>46047</v>
      </c>
      <c r="F247" s="78"/>
      <c r="G247" s="68">
        <v>4620</v>
      </c>
      <c r="H247" s="4">
        <f t="shared" ref="H247:H252" si="73">E247-D247+1</f>
        <v>16</v>
      </c>
      <c r="I247" s="4">
        <v>71</v>
      </c>
      <c r="J247" s="94">
        <f t="shared" ref="J247:J252" si="74">+I247*H247*G247</f>
        <v>5248320</v>
      </c>
      <c r="K247" s="4" t="s">
        <v>181</v>
      </c>
      <c r="L247" s="85" t="s">
        <v>230</v>
      </c>
    </row>
    <row r="248" spans="1:12" ht="17.25" x14ac:dyDescent="0.25">
      <c r="A248" s="230"/>
      <c r="B248" s="77" t="s">
        <v>0</v>
      </c>
      <c r="C248" s="42" t="s">
        <v>24</v>
      </c>
      <c r="D248" s="44">
        <v>46033</v>
      </c>
      <c r="E248" s="44">
        <v>46047</v>
      </c>
      <c r="F248" s="78"/>
      <c r="G248" s="68">
        <v>4620</v>
      </c>
      <c r="H248" s="4">
        <f t="shared" si="73"/>
        <v>15</v>
      </c>
      <c r="I248" s="4">
        <v>71</v>
      </c>
      <c r="J248" s="94">
        <f t="shared" si="74"/>
        <v>4920300</v>
      </c>
      <c r="K248" s="4" t="s">
        <v>190</v>
      </c>
      <c r="L248" s="85" t="s">
        <v>231</v>
      </c>
    </row>
    <row r="249" spans="1:12" ht="17.25" x14ac:dyDescent="0.25">
      <c r="A249" s="230"/>
      <c r="B249" s="77" t="s">
        <v>0</v>
      </c>
      <c r="C249" s="42" t="s">
        <v>24</v>
      </c>
      <c r="D249" s="44">
        <v>46034</v>
      </c>
      <c r="E249" s="44">
        <v>46047</v>
      </c>
      <c r="F249" s="78"/>
      <c r="G249" s="68">
        <v>4620</v>
      </c>
      <c r="H249" s="4">
        <f t="shared" si="73"/>
        <v>14</v>
      </c>
      <c r="I249" s="4">
        <v>71</v>
      </c>
      <c r="J249" s="94">
        <f t="shared" si="74"/>
        <v>4592280</v>
      </c>
      <c r="K249" s="4" t="s">
        <v>189</v>
      </c>
      <c r="L249" s="85" t="s">
        <v>233</v>
      </c>
    </row>
    <row r="250" spans="1:12" ht="17.25" x14ac:dyDescent="0.25">
      <c r="A250" s="230"/>
      <c r="B250" s="77" t="s">
        <v>0</v>
      </c>
      <c r="C250" s="42" t="s">
        <v>24</v>
      </c>
      <c r="D250" s="44">
        <v>46034</v>
      </c>
      <c r="E250" s="44">
        <v>46047</v>
      </c>
      <c r="F250" s="78"/>
      <c r="G250" s="68">
        <v>3234</v>
      </c>
      <c r="H250" s="4">
        <f t="shared" si="73"/>
        <v>14</v>
      </c>
      <c r="I250" s="4">
        <v>71</v>
      </c>
      <c r="J250" s="94">
        <f t="shared" si="74"/>
        <v>3214596</v>
      </c>
      <c r="K250" s="4" t="s">
        <v>191</v>
      </c>
      <c r="L250" s="85" t="s">
        <v>232</v>
      </c>
    </row>
    <row r="251" spans="1:12" ht="17.25" x14ac:dyDescent="0.25">
      <c r="A251" s="230"/>
      <c r="B251" s="77" t="s">
        <v>0</v>
      </c>
      <c r="C251" s="42" t="s">
        <v>24</v>
      </c>
      <c r="D251" s="44">
        <v>46035</v>
      </c>
      <c r="E251" s="44">
        <v>46047</v>
      </c>
      <c r="F251" s="78"/>
      <c r="G251" s="68">
        <v>5544</v>
      </c>
      <c r="H251" s="4">
        <f t="shared" si="73"/>
        <v>13</v>
      </c>
      <c r="I251" s="4">
        <v>71</v>
      </c>
      <c r="J251" s="94">
        <f t="shared" si="74"/>
        <v>5117112</v>
      </c>
      <c r="K251" s="4" t="s">
        <v>192</v>
      </c>
      <c r="L251" s="85" t="s">
        <v>234</v>
      </c>
    </row>
    <row r="252" spans="1:12" ht="17.25" x14ac:dyDescent="0.25">
      <c r="A252" s="230"/>
      <c r="B252" s="77" t="s">
        <v>0</v>
      </c>
      <c r="C252" s="42" t="s">
        <v>24</v>
      </c>
      <c r="D252" s="44">
        <v>46038</v>
      </c>
      <c r="E252" s="44">
        <v>46047</v>
      </c>
      <c r="F252" s="78"/>
      <c r="G252" s="68">
        <v>4620</v>
      </c>
      <c r="H252" s="4">
        <f t="shared" si="73"/>
        <v>10</v>
      </c>
      <c r="I252" s="4">
        <v>71</v>
      </c>
      <c r="J252" s="94">
        <f t="shared" si="74"/>
        <v>3280200</v>
      </c>
      <c r="K252" s="4" t="s">
        <v>189</v>
      </c>
      <c r="L252" s="85" t="s">
        <v>235</v>
      </c>
    </row>
    <row r="253" spans="1:12" ht="17.25" x14ac:dyDescent="0.25">
      <c r="A253" s="230"/>
      <c r="B253" s="77" t="s">
        <v>0</v>
      </c>
      <c r="C253" s="42" t="s">
        <v>24</v>
      </c>
      <c r="D253" s="44">
        <v>46038</v>
      </c>
      <c r="E253" s="44">
        <v>46047</v>
      </c>
      <c r="F253" s="78"/>
      <c r="G253" s="68">
        <v>3696</v>
      </c>
      <c r="H253" s="4">
        <f t="shared" si="71"/>
        <v>10</v>
      </c>
      <c r="I253" s="4">
        <v>71</v>
      </c>
      <c r="J253" s="94">
        <f t="shared" si="72"/>
        <v>2624160</v>
      </c>
      <c r="K253" s="4" t="s">
        <v>194</v>
      </c>
      <c r="L253" s="85" t="s">
        <v>237</v>
      </c>
    </row>
    <row r="254" spans="1:12" ht="17.25" x14ac:dyDescent="0.25">
      <c r="A254" s="230"/>
      <c r="B254" s="77" t="s">
        <v>0</v>
      </c>
      <c r="C254" s="42" t="s">
        <v>24</v>
      </c>
      <c r="D254" s="44">
        <v>46038</v>
      </c>
      <c r="E254" s="44">
        <v>46047</v>
      </c>
      <c r="F254" s="78"/>
      <c r="G254" s="68">
        <v>9240</v>
      </c>
      <c r="H254" s="4">
        <f t="shared" si="71"/>
        <v>10</v>
      </c>
      <c r="I254" s="4">
        <v>71</v>
      </c>
      <c r="J254" s="94">
        <f t="shared" si="72"/>
        <v>6560400</v>
      </c>
      <c r="K254" s="4" t="s">
        <v>193</v>
      </c>
      <c r="L254" s="85" t="s">
        <v>236</v>
      </c>
    </row>
    <row r="255" spans="1:12" ht="17.25" x14ac:dyDescent="0.25">
      <c r="A255" s="230"/>
      <c r="B255" s="77" t="s">
        <v>0</v>
      </c>
      <c r="C255" s="42" t="s">
        <v>24</v>
      </c>
      <c r="D255" s="44">
        <v>46042</v>
      </c>
      <c r="E255" s="44">
        <v>46047</v>
      </c>
      <c r="F255" s="78"/>
      <c r="G255" s="68">
        <v>3696</v>
      </c>
      <c r="H255" s="4">
        <f t="shared" ref="H255:H258" si="75">E255-D255+1</f>
        <v>6</v>
      </c>
      <c r="I255" s="4">
        <v>71</v>
      </c>
      <c r="J255" s="94">
        <f t="shared" ref="J255:J258" si="76">+I255*H255*G255</f>
        <v>1574496</v>
      </c>
      <c r="K255" s="4" t="s">
        <v>195</v>
      </c>
      <c r="L255" s="85" t="s">
        <v>238</v>
      </c>
    </row>
    <row r="256" spans="1:12" ht="17.25" x14ac:dyDescent="0.25">
      <c r="A256" s="230"/>
      <c r="B256" s="77" t="s">
        <v>0</v>
      </c>
      <c r="C256" s="42" t="s">
        <v>24</v>
      </c>
      <c r="D256" s="44">
        <v>46043</v>
      </c>
      <c r="E256" s="44">
        <v>46047</v>
      </c>
      <c r="F256" s="78"/>
      <c r="G256" s="68">
        <v>3696</v>
      </c>
      <c r="H256" s="4">
        <f t="shared" si="75"/>
        <v>5</v>
      </c>
      <c r="I256" s="4">
        <v>71</v>
      </c>
      <c r="J256" s="94">
        <f t="shared" si="76"/>
        <v>1312080</v>
      </c>
      <c r="K256" s="4" t="s">
        <v>190</v>
      </c>
      <c r="L256" s="85" t="s">
        <v>239</v>
      </c>
    </row>
    <row r="257" spans="1:13" ht="17.25" x14ac:dyDescent="0.25">
      <c r="A257" s="230"/>
      <c r="B257" s="77" t="s">
        <v>0</v>
      </c>
      <c r="C257" s="42" t="s">
        <v>24</v>
      </c>
      <c r="D257" s="44">
        <v>46045</v>
      </c>
      <c r="E257" s="44">
        <v>46047</v>
      </c>
      <c r="F257" s="78"/>
      <c r="G257" s="68">
        <v>1386</v>
      </c>
      <c r="H257" s="4">
        <f t="shared" si="75"/>
        <v>3</v>
      </c>
      <c r="I257" s="4">
        <v>71</v>
      </c>
      <c r="J257" s="94">
        <f t="shared" si="76"/>
        <v>295218</v>
      </c>
      <c r="K257" s="4" t="s">
        <v>182</v>
      </c>
      <c r="L257" s="85" t="s">
        <v>240</v>
      </c>
    </row>
    <row r="258" spans="1:13" ht="17.25" x14ac:dyDescent="0.25">
      <c r="A258" s="230"/>
      <c r="B258" s="77" t="s">
        <v>0</v>
      </c>
      <c r="C258" s="42" t="s">
        <v>24</v>
      </c>
      <c r="D258" s="44">
        <v>46047</v>
      </c>
      <c r="E258" s="44">
        <v>46047</v>
      </c>
      <c r="F258" s="78"/>
      <c r="G258" s="68">
        <v>3696</v>
      </c>
      <c r="H258" s="4">
        <f t="shared" si="75"/>
        <v>1</v>
      </c>
      <c r="I258" s="4">
        <v>71</v>
      </c>
      <c r="J258" s="94">
        <f t="shared" si="76"/>
        <v>262416</v>
      </c>
      <c r="K258" s="4" t="s">
        <v>196</v>
      </c>
      <c r="L258" s="85" t="s">
        <v>243</v>
      </c>
    </row>
    <row r="259" spans="1:13" ht="16.5" x14ac:dyDescent="0.25">
      <c r="A259" s="225"/>
      <c r="B259" s="226" t="s">
        <v>20</v>
      </c>
      <c r="C259" s="227"/>
      <c r="D259" s="227"/>
      <c r="E259" s="227"/>
      <c r="F259" s="228"/>
      <c r="G259" s="69">
        <f>SUM(G224:G258)</f>
        <v>211247</v>
      </c>
      <c r="H259" s="8"/>
      <c r="I259" s="4"/>
      <c r="J259" s="69">
        <f>+SUBTOTAL(109,J224:J258)</f>
        <v>347257947</v>
      </c>
      <c r="K259" s="4"/>
    </row>
    <row r="260" spans="1:13" ht="16.5" x14ac:dyDescent="0.25">
      <c r="A260" s="224">
        <v>8</v>
      </c>
      <c r="B260" s="77" t="s">
        <v>150</v>
      </c>
      <c r="C260" s="42" t="s">
        <v>24</v>
      </c>
      <c r="D260" s="44">
        <v>46017</v>
      </c>
      <c r="E260" s="44">
        <v>46047</v>
      </c>
      <c r="F260" s="69">
        <v>8400</v>
      </c>
      <c r="G260" s="70">
        <f>+F260</f>
        <v>8400</v>
      </c>
      <c r="H260" s="4">
        <f t="shared" ref="H260:H271" si="77">E260-D260+1</f>
        <v>31</v>
      </c>
      <c r="I260" s="67">
        <v>70</v>
      </c>
      <c r="J260" s="94">
        <f>+I260*H260*G260</f>
        <v>18228000</v>
      </c>
      <c r="K260" s="67"/>
    </row>
    <row r="261" spans="1:13" ht="16.5" x14ac:dyDescent="0.25">
      <c r="A261" s="230"/>
      <c r="B261" s="77" t="s">
        <v>150</v>
      </c>
      <c r="C261" s="42" t="s">
        <v>24</v>
      </c>
      <c r="D261" s="44">
        <v>46018</v>
      </c>
      <c r="E261" s="44">
        <v>46047</v>
      </c>
      <c r="F261" s="79"/>
      <c r="G261" s="70">
        <v>1500</v>
      </c>
      <c r="H261" s="4">
        <f t="shared" si="77"/>
        <v>30</v>
      </c>
      <c r="I261" s="67">
        <v>70</v>
      </c>
      <c r="J261" s="94">
        <f t="shared" ref="J261:J271" si="78">+I261*H261*G261</f>
        <v>3150000</v>
      </c>
      <c r="K261" s="67" t="s">
        <v>165</v>
      </c>
      <c r="L261" s="85" t="s">
        <v>203</v>
      </c>
      <c r="M261" s="1" t="s">
        <v>204</v>
      </c>
    </row>
    <row r="262" spans="1:13" ht="16.5" x14ac:dyDescent="0.25">
      <c r="A262" s="230"/>
      <c r="B262" s="77" t="s">
        <v>150</v>
      </c>
      <c r="C262" s="42" t="s">
        <v>24</v>
      </c>
      <c r="D262" s="44">
        <v>46021</v>
      </c>
      <c r="E262" s="44">
        <v>46047</v>
      </c>
      <c r="F262" s="79"/>
      <c r="G262" s="70">
        <v>1500</v>
      </c>
      <c r="H262" s="4">
        <f t="shared" si="77"/>
        <v>27</v>
      </c>
      <c r="I262" s="67">
        <v>70</v>
      </c>
      <c r="J262" s="94">
        <f t="shared" si="78"/>
        <v>2835000</v>
      </c>
      <c r="K262" s="67" t="s">
        <v>170</v>
      </c>
      <c r="L262" s="85" t="s">
        <v>213</v>
      </c>
      <c r="M262" s="85" t="s">
        <v>212</v>
      </c>
    </row>
    <row r="263" spans="1:13" ht="16.5" x14ac:dyDescent="0.25">
      <c r="A263" s="230"/>
      <c r="B263" s="77" t="s">
        <v>150</v>
      </c>
      <c r="C263" s="42" t="s">
        <v>24</v>
      </c>
      <c r="D263" s="44">
        <v>46024</v>
      </c>
      <c r="E263" s="44">
        <v>46047</v>
      </c>
      <c r="F263" s="79"/>
      <c r="G263" s="70">
        <v>1500</v>
      </c>
      <c r="H263" s="4">
        <f t="shared" si="77"/>
        <v>24</v>
      </c>
      <c r="I263" s="67">
        <v>70</v>
      </c>
      <c r="J263" s="94">
        <f t="shared" si="78"/>
        <v>2520000</v>
      </c>
      <c r="K263" s="67" t="s">
        <v>182</v>
      </c>
      <c r="L263" s="85" t="s">
        <v>220</v>
      </c>
    </row>
    <row r="264" spans="1:13" ht="16.5" x14ac:dyDescent="0.25">
      <c r="A264" s="230"/>
      <c r="B264" s="77" t="s">
        <v>150</v>
      </c>
      <c r="C264" s="42" t="s">
        <v>24</v>
      </c>
      <c r="D264" s="44">
        <v>46025</v>
      </c>
      <c r="E264" s="44">
        <v>46047</v>
      </c>
      <c r="F264" s="79"/>
      <c r="G264" s="70">
        <v>5750</v>
      </c>
      <c r="H264" s="4">
        <f t="shared" ref="H264" si="79">E264-D264+1</f>
        <v>23</v>
      </c>
      <c r="I264" s="67">
        <v>70</v>
      </c>
      <c r="J264" s="94">
        <f t="shared" ref="J264" si="80">+I264*H264*G264</f>
        <v>9257500</v>
      </c>
      <c r="K264" s="67" t="s">
        <v>187</v>
      </c>
      <c r="L264" s="85" t="s">
        <v>222</v>
      </c>
    </row>
    <row r="265" spans="1:13" ht="16.5" x14ac:dyDescent="0.25">
      <c r="A265" s="230"/>
      <c r="B265" s="77" t="s">
        <v>150</v>
      </c>
      <c r="C265" s="42" t="s">
        <v>24</v>
      </c>
      <c r="D265" s="44">
        <v>46029</v>
      </c>
      <c r="E265" s="44">
        <v>46047</v>
      </c>
      <c r="F265" s="79"/>
      <c r="G265" s="70">
        <v>1250</v>
      </c>
      <c r="H265" s="4">
        <f t="shared" si="77"/>
        <v>19</v>
      </c>
      <c r="I265" s="67">
        <v>70</v>
      </c>
      <c r="J265" s="94">
        <f t="shared" si="78"/>
        <v>1662500</v>
      </c>
      <c r="K265" s="67" t="s">
        <v>182</v>
      </c>
      <c r="L265" s="85" t="s">
        <v>228</v>
      </c>
    </row>
    <row r="266" spans="1:13" ht="16.5" x14ac:dyDescent="0.25">
      <c r="A266" s="230"/>
      <c r="B266" s="77" t="s">
        <v>150</v>
      </c>
      <c r="C266" s="42" t="s">
        <v>24</v>
      </c>
      <c r="D266" s="44">
        <v>46034</v>
      </c>
      <c r="E266" s="44">
        <v>46047</v>
      </c>
      <c r="F266" s="79"/>
      <c r="G266" s="70">
        <v>1000</v>
      </c>
      <c r="H266" s="4">
        <f t="shared" si="77"/>
        <v>14</v>
      </c>
      <c r="I266" s="67">
        <v>70</v>
      </c>
      <c r="J266" s="94">
        <f t="shared" si="78"/>
        <v>980000</v>
      </c>
      <c r="K266" s="67" t="s">
        <v>189</v>
      </c>
      <c r="L266" s="85" t="s">
        <v>233</v>
      </c>
    </row>
    <row r="267" spans="1:13" ht="16.5" x14ac:dyDescent="0.25">
      <c r="A267" s="230"/>
      <c r="B267" s="77" t="s">
        <v>150</v>
      </c>
      <c r="C267" s="42" t="s">
        <v>24</v>
      </c>
      <c r="D267" s="44">
        <v>46035</v>
      </c>
      <c r="E267" s="44">
        <v>46047</v>
      </c>
      <c r="F267" s="79"/>
      <c r="G267" s="70">
        <v>1500</v>
      </c>
      <c r="H267" s="4">
        <f t="shared" ref="H267:H270" si="81">E267-D267+1</f>
        <v>13</v>
      </c>
      <c r="I267" s="67">
        <v>70</v>
      </c>
      <c r="J267" s="94">
        <f t="shared" ref="J267:J270" si="82">+I267*H267*G267</f>
        <v>1365000</v>
      </c>
      <c r="K267" s="67" t="s">
        <v>192</v>
      </c>
      <c r="L267" s="85" t="s">
        <v>234</v>
      </c>
    </row>
    <row r="268" spans="1:13" ht="16.5" x14ac:dyDescent="0.25">
      <c r="A268" s="230"/>
      <c r="B268" s="77" t="s">
        <v>150</v>
      </c>
      <c r="C268" s="42" t="s">
        <v>24</v>
      </c>
      <c r="D268" s="44">
        <v>46038</v>
      </c>
      <c r="E268" s="44">
        <v>46047</v>
      </c>
      <c r="F268" s="79"/>
      <c r="G268" s="70">
        <v>5250</v>
      </c>
      <c r="H268" s="4">
        <f t="shared" ref="H268" si="83">E268-D268+1</f>
        <v>10</v>
      </c>
      <c r="I268" s="67">
        <v>70</v>
      </c>
      <c r="J268" s="94">
        <f t="shared" ref="J268" si="84">+I268*H268*G268</f>
        <v>3675000</v>
      </c>
      <c r="K268" s="67" t="s">
        <v>189</v>
      </c>
      <c r="L268" s="85" t="s">
        <v>235</v>
      </c>
    </row>
    <row r="269" spans="1:13" ht="16.5" x14ac:dyDescent="0.25">
      <c r="A269" s="230"/>
      <c r="B269" s="77" t="s">
        <v>150</v>
      </c>
      <c r="C269" s="42" t="s">
        <v>24</v>
      </c>
      <c r="D269" s="44">
        <v>46038</v>
      </c>
      <c r="E269" s="44">
        <v>46047</v>
      </c>
      <c r="F269" s="79"/>
      <c r="G269" s="70">
        <v>1250</v>
      </c>
      <c r="H269" s="4">
        <f t="shared" si="81"/>
        <v>10</v>
      </c>
      <c r="I269" s="67">
        <v>70</v>
      </c>
      <c r="J269" s="94">
        <f t="shared" si="82"/>
        <v>875000</v>
      </c>
      <c r="K269" s="67" t="s">
        <v>194</v>
      </c>
      <c r="L269" s="85" t="s">
        <v>237</v>
      </c>
    </row>
    <row r="270" spans="1:13" ht="16.5" x14ac:dyDescent="0.25">
      <c r="A270" s="230"/>
      <c r="B270" s="77" t="s">
        <v>150</v>
      </c>
      <c r="C270" s="42" t="s">
        <v>24</v>
      </c>
      <c r="D270" s="44">
        <v>46042</v>
      </c>
      <c r="E270" s="44">
        <v>46047</v>
      </c>
      <c r="F270" s="79"/>
      <c r="G270" s="70">
        <v>750</v>
      </c>
      <c r="H270" s="4">
        <f t="shared" si="81"/>
        <v>6</v>
      </c>
      <c r="I270" s="67">
        <v>70</v>
      </c>
      <c r="J270" s="94">
        <f t="shared" si="82"/>
        <v>315000</v>
      </c>
      <c r="K270" s="67" t="s">
        <v>195</v>
      </c>
      <c r="L270" s="85" t="s">
        <v>238</v>
      </c>
    </row>
    <row r="271" spans="1:13" ht="16.5" x14ac:dyDescent="0.25">
      <c r="A271" s="230"/>
      <c r="B271" s="77" t="s">
        <v>150</v>
      </c>
      <c r="C271" s="42" t="s">
        <v>24</v>
      </c>
      <c r="D271" s="44">
        <v>46043</v>
      </c>
      <c r="E271" s="44">
        <v>46047</v>
      </c>
      <c r="F271" s="79"/>
      <c r="G271" s="70">
        <v>750</v>
      </c>
      <c r="H271" s="4">
        <f t="shared" si="77"/>
        <v>5</v>
      </c>
      <c r="I271" s="67">
        <v>70</v>
      </c>
      <c r="J271" s="94">
        <f t="shared" si="78"/>
        <v>262500</v>
      </c>
      <c r="K271" s="67" t="s">
        <v>190</v>
      </c>
      <c r="L271" s="85" t="s">
        <v>239</v>
      </c>
    </row>
    <row r="272" spans="1:13" ht="16.5" x14ac:dyDescent="0.25">
      <c r="A272" s="230"/>
      <c r="B272" s="77" t="s">
        <v>150</v>
      </c>
      <c r="C272" s="42" t="s">
        <v>24</v>
      </c>
      <c r="D272" s="44">
        <v>46045</v>
      </c>
      <c r="E272" s="44">
        <v>46047</v>
      </c>
      <c r="F272" s="82"/>
      <c r="G272" s="70">
        <v>750</v>
      </c>
      <c r="H272" s="4">
        <f t="shared" ref="H272:H273" si="85">E272-D272+1</f>
        <v>3</v>
      </c>
      <c r="I272" s="67">
        <v>70</v>
      </c>
      <c r="J272" s="94">
        <f t="shared" ref="J272:J273" si="86">+I272*H272*G272</f>
        <v>157500</v>
      </c>
      <c r="K272" s="67" t="s">
        <v>182</v>
      </c>
      <c r="L272" s="85" t="s">
        <v>240</v>
      </c>
    </row>
    <row r="273" spans="1:13" ht="16.5" x14ac:dyDescent="0.25">
      <c r="A273" s="230"/>
      <c r="B273" s="77" t="s">
        <v>150</v>
      </c>
      <c r="C273" s="42" t="s">
        <v>24</v>
      </c>
      <c r="D273" s="44">
        <v>46045</v>
      </c>
      <c r="E273" s="44">
        <v>46047</v>
      </c>
      <c r="F273" s="82"/>
      <c r="G273" s="70">
        <v>1000</v>
      </c>
      <c r="H273" s="4">
        <f t="shared" si="85"/>
        <v>3</v>
      </c>
      <c r="I273" s="67">
        <v>70</v>
      </c>
      <c r="J273" s="94">
        <f t="shared" si="86"/>
        <v>210000</v>
      </c>
      <c r="K273" s="67" t="s">
        <v>192</v>
      </c>
      <c r="L273" s="85" t="s">
        <v>241</v>
      </c>
    </row>
    <row r="274" spans="1:13" ht="16.5" x14ac:dyDescent="0.25">
      <c r="A274" s="225"/>
      <c r="B274" s="226" t="s">
        <v>20</v>
      </c>
      <c r="C274" s="227"/>
      <c r="D274" s="227"/>
      <c r="E274" s="227"/>
      <c r="F274" s="228"/>
      <c r="G274" s="69">
        <f>SUM(G260:G273)</f>
        <v>32150</v>
      </c>
      <c r="H274" s="8"/>
      <c r="I274" s="4"/>
      <c r="J274" s="69">
        <f>+SUBTOTAL(109,J260:J273)</f>
        <v>45493000</v>
      </c>
      <c r="K274" s="4"/>
    </row>
    <row r="275" spans="1:13" ht="17.25" x14ac:dyDescent="0.25">
      <c r="A275" s="224">
        <v>9</v>
      </c>
      <c r="B275" s="77" t="s">
        <v>151</v>
      </c>
      <c r="C275" s="42" t="s">
        <v>24</v>
      </c>
      <c r="D275" s="44">
        <v>46017</v>
      </c>
      <c r="E275" s="44">
        <v>46047</v>
      </c>
      <c r="F275" s="78">
        <v>11350</v>
      </c>
      <c r="G275" s="68">
        <f>+F275</f>
        <v>11350</v>
      </c>
      <c r="H275" s="4">
        <f t="shared" ref="H275:H282" si="87">E275-D275+1</f>
        <v>31</v>
      </c>
      <c r="I275" s="4">
        <v>70</v>
      </c>
      <c r="J275" s="94">
        <f t="shared" ref="J275:J282" si="88">+I275*H275*G275</f>
        <v>24629500</v>
      </c>
      <c r="K275" s="4"/>
    </row>
    <row r="276" spans="1:13" ht="17.25" x14ac:dyDescent="0.25">
      <c r="A276" s="230"/>
      <c r="B276" s="77" t="s">
        <v>151</v>
      </c>
      <c r="C276" s="42" t="s">
        <v>24</v>
      </c>
      <c r="D276" s="44">
        <v>46018</v>
      </c>
      <c r="E276" s="44">
        <v>46047</v>
      </c>
      <c r="F276" s="78"/>
      <c r="G276" s="68">
        <v>1500</v>
      </c>
      <c r="H276" s="4">
        <f t="shared" si="87"/>
        <v>30</v>
      </c>
      <c r="I276" s="4">
        <v>70</v>
      </c>
      <c r="J276" s="94">
        <f t="shared" si="88"/>
        <v>3150000</v>
      </c>
      <c r="K276" s="4" t="s">
        <v>165</v>
      </c>
      <c r="L276" s="85" t="s">
        <v>203</v>
      </c>
      <c r="M276" s="1" t="s">
        <v>204</v>
      </c>
    </row>
    <row r="277" spans="1:13" ht="17.25" x14ac:dyDescent="0.25">
      <c r="A277" s="230"/>
      <c r="B277" s="77" t="s">
        <v>151</v>
      </c>
      <c r="C277" s="42" t="s">
        <v>24</v>
      </c>
      <c r="D277" s="44">
        <v>46021</v>
      </c>
      <c r="E277" s="44">
        <v>46047</v>
      </c>
      <c r="F277" s="78"/>
      <c r="G277" s="68">
        <v>1500</v>
      </c>
      <c r="H277" s="4">
        <f t="shared" si="87"/>
        <v>27</v>
      </c>
      <c r="I277" s="4">
        <v>70</v>
      </c>
      <c r="J277" s="94">
        <f t="shared" si="88"/>
        <v>2835000</v>
      </c>
      <c r="K277" s="4" t="s">
        <v>170</v>
      </c>
      <c r="L277" s="85" t="s">
        <v>213</v>
      </c>
      <c r="M277" s="85" t="s">
        <v>212</v>
      </c>
    </row>
    <row r="278" spans="1:13" ht="17.25" x14ac:dyDescent="0.25">
      <c r="A278" s="230"/>
      <c r="B278" s="77" t="s">
        <v>151</v>
      </c>
      <c r="C278" s="42" t="s">
        <v>24</v>
      </c>
      <c r="D278" s="44">
        <v>46024</v>
      </c>
      <c r="E278" s="44">
        <v>46047</v>
      </c>
      <c r="F278" s="78"/>
      <c r="G278" s="68">
        <v>1500</v>
      </c>
      <c r="H278" s="4">
        <f t="shared" si="87"/>
        <v>24</v>
      </c>
      <c r="I278" s="4">
        <v>70</v>
      </c>
      <c r="J278" s="94">
        <f t="shared" si="88"/>
        <v>2520000</v>
      </c>
      <c r="K278" s="4" t="s">
        <v>182</v>
      </c>
      <c r="L278" s="85" t="s">
        <v>220</v>
      </c>
    </row>
    <row r="279" spans="1:13" ht="17.25" x14ac:dyDescent="0.25">
      <c r="A279" s="230"/>
      <c r="B279" s="77" t="s">
        <v>151</v>
      </c>
      <c r="C279" s="42" t="s">
        <v>24</v>
      </c>
      <c r="D279" s="44">
        <v>46025</v>
      </c>
      <c r="E279" s="44">
        <v>46047</v>
      </c>
      <c r="F279" s="78"/>
      <c r="G279" s="68">
        <v>5500</v>
      </c>
      <c r="H279" s="4">
        <f t="shared" ref="H279" si="89">E279-D279+1</f>
        <v>23</v>
      </c>
      <c r="I279" s="4">
        <v>70</v>
      </c>
      <c r="J279" s="94">
        <f t="shared" ref="J279" si="90">+I279*H279*G279</f>
        <v>8855000</v>
      </c>
      <c r="K279" s="4" t="s">
        <v>187</v>
      </c>
      <c r="L279" s="85" t="s">
        <v>222</v>
      </c>
    </row>
    <row r="280" spans="1:13" ht="17.25" x14ac:dyDescent="0.25">
      <c r="A280" s="230"/>
      <c r="B280" s="77" t="s">
        <v>151</v>
      </c>
      <c r="C280" s="42" t="s">
        <v>24</v>
      </c>
      <c r="D280" s="44">
        <v>46029</v>
      </c>
      <c r="E280" s="44">
        <v>46047</v>
      </c>
      <c r="F280" s="78"/>
      <c r="G280" s="68">
        <v>1000</v>
      </c>
      <c r="H280" s="4">
        <f t="shared" si="87"/>
        <v>19</v>
      </c>
      <c r="I280" s="4">
        <v>70</v>
      </c>
      <c r="J280" s="94">
        <f t="shared" si="88"/>
        <v>1330000</v>
      </c>
      <c r="K280" s="4" t="s">
        <v>182</v>
      </c>
      <c r="L280" s="85" t="s">
        <v>228</v>
      </c>
    </row>
    <row r="281" spans="1:13" ht="17.25" x14ac:dyDescent="0.25">
      <c r="A281" s="230"/>
      <c r="B281" s="77" t="s">
        <v>151</v>
      </c>
      <c r="C281" s="42" t="s">
        <v>24</v>
      </c>
      <c r="D281" s="44">
        <v>46034</v>
      </c>
      <c r="E281" s="44">
        <v>46047</v>
      </c>
      <c r="F281" s="78"/>
      <c r="G281" s="68">
        <v>1000</v>
      </c>
      <c r="H281" s="4">
        <f t="shared" si="87"/>
        <v>14</v>
      </c>
      <c r="I281" s="4">
        <v>70</v>
      </c>
      <c r="J281" s="94">
        <f t="shared" si="88"/>
        <v>980000</v>
      </c>
      <c r="K281" s="4" t="s">
        <v>189</v>
      </c>
      <c r="L281" s="85" t="s">
        <v>233</v>
      </c>
    </row>
    <row r="282" spans="1:13" ht="17.25" x14ac:dyDescent="0.25">
      <c r="A282" s="230"/>
      <c r="B282" s="77" t="s">
        <v>151</v>
      </c>
      <c r="C282" s="42" t="s">
        <v>24</v>
      </c>
      <c r="D282" s="44">
        <v>46038</v>
      </c>
      <c r="E282" s="44">
        <v>46047</v>
      </c>
      <c r="F282" s="78"/>
      <c r="G282" s="68">
        <v>250</v>
      </c>
      <c r="H282" s="4">
        <f t="shared" si="87"/>
        <v>10</v>
      </c>
      <c r="I282" s="4">
        <v>70</v>
      </c>
      <c r="J282" s="94">
        <f t="shared" si="88"/>
        <v>175000</v>
      </c>
      <c r="K282" s="4" t="s">
        <v>194</v>
      </c>
      <c r="L282" s="85" t="s">
        <v>237</v>
      </c>
    </row>
    <row r="283" spans="1:13" ht="17.25" x14ac:dyDescent="0.25">
      <c r="A283" s="230"/>
      <c r="B283" s="77" t="s">
        <v>151</v>
      </c>
      <c r="C283" s="42" t="s">
        <v>24</v>
      </c>
      <c r="D283" s="44">
        <v>46042</v>
      </c>
      <c r="E283" s="44">
        <v>46047</v>
      </c>
      <c r="F283" s="81"/>
      <c r="G283" s="68">
        <v>750</v>
      </c>
      <c r="H283" s="4">
        <f t="shared" ref="H283:H284" si="91">E283-D283+1</f>
        <v>6</v>
      </c>
      <c r="I283" s="4">
        <v>70</v>
      </c>
      <c r="J283" s="94">
        <f t="shared" ref="J283:J284" si="92">+I283*H283*G283</f>
        <v>315000</v>
      </c>
      <c r="K283" s="4" t="s">
        <v>195</v>
      </c>
      <c r="L283" s="85" t="s">
        <v>238</v>
      </c>
    </row>
    <row r="284" spans="1:13" ht="17.25" x14ac:dyDescent="0.25">
      <c r="A284" s="230"/>
      <c r="B284" s="77" t="s">
        <v>151</v>
      </c>
      <c r="C284" s="42" t="s">
        <v>24</v>
      </c>
      <c r="D284" s="44">
        <v>46043</v>
      </c>
      <c r="E284" s="44">
        <v>46047</v>
      </c>
      <c r="F284" s="81"/>
      <c r="G284" s="68">
        <v>750</v>
      </c>
      <c r="H284" s="4">
        <f t="shared" si="91"/>
        <v>5</v>
      </c>
      <c r="I284" s="4">
        <v>70</v>
      </c>
      <c r="J284" s="94">
        <f t="shared" si="92"/>
        <v>262500</v>
      </c>
      <c r="K284" s="4" t="s">
        <v>190</v>
      </c>
      <c r="L284" s="85" t="s">
        <v>239</v>
      </c>
    </row>
    <row r="285" spans="1:13" ht="17.25" x14ac:dyDescent="0.25">
      <c r="A285" s="230"/>
      <c r="B285" s="77" t="s">
        <v>151</v>
      </c>
      <c r="C285" s="42" t="s">
        <v>24</v>
      </c>
      <c r="D285" s="44">
        <v>46045</v>
      </c>
      <c r="E285" s="44">
        <v>46047</v>
      </c>
      <c r="F285" s="81"/>
      <c r="G285" s="68">
        <v>2250</v>
      </c>
      <c r="H285" s="4">
        <f t="shared" ref="H285:H287" si="93">E285-D285+1</f>
        <v>3</v>
      </c>
      <c r="I285" s="4">
        <v>70</v>
      </c>
      <c r="J285" s="94">
        <f t="shared" ref="J285:J287" si="94">+I285*H285*G285</f>
        <v>472500</v>
      </c>
      <c r="K285" s="4" t="s">
        <v>182</v>
      </c>
      <c r="L285" s="85" t="s">
        <v>240</v>
      </c>
    </row>
    <row r="286" spans="1:13" ht="17.25" x14ac:dyDescent="0.25">
      <c r="A286" s="230"/>
      <c r="B286" s="77" t="s">
        <v>151</v>
      </c>
      <c r="C286" s="42" t="s">
        <v>24</v>
      </c>
      <c r="D286" s="44">
        <v>46045</v>
      </c>
      <c r="E286" s="44">
        <v>46047</v>
      </c>
      <c r="F286" s="81"/>
      <c r="G286" s="68">
        <v>1250</v>
      </c>
      <c r="H286" s="4">
        <f t="shared" si="93"/>
        <v>3</v>
      </c>
      <c r="I286" s="4">
        <v>70</v>
      </c>
      <c r="J286" s="94">
        <f t="shared" si="94"/>
        <v>262500</v>
      </c>
      <c r="K286" s="4" t="s">
        <v>192</v>
      </c>
      <c r="L286" s="85" t="s">
        <v>241</v>
      </c>
    </row>
    <row r="287" spans="1:13" ht="17.25" x14ac:dyDescent="0.25">
      <c r="A287" s="230"/>
      <c r="B287" s="77" t="s">
        <v>151</v>
      </c>
      <c r="C287" s="42" t="s">
        <v>24</v>
      </c>
      <c r="D287" s="44">
        <v>46047</v>
      </c>
      <c r="E287" s="44">
        <v>46047</v>
      </c>
      <c r="F287" s="81"/>
      <c r="G287" s="68">
        <v>750</v>
      </c>
      <c r="H287" s="4">
        <f t="shared" si="93"/>
        <v>1</v>
      </c>
      <c r="I287" s="4">
        <v>70</v>
      </c>
      <c r="J287" s="94">
        <f t="shared" si="94"/>
        <v>52500</v>
      </c>
      <c r="K287" s="4" t="s">
        <v>196</v>
      </c>
      <c r="L287" s="85" t="s">
        <v>243</v>
      </c>
    </row>
    <row r="288" spans="1:13" ht="16.5" x14ac:dyDescent="0.25">
      <c r="A288" s="225"/>
      <c r="B288" s="226" t="s">
        <v>20</v>
      </c>
      <c r="C288" s="227"/>
      <c r="D288" s="227"/>
      <c r="E288" s="227"/>
      <c r="F288" s="228"/>
      <c r="G288" s="69">
        <f>SUM(G275:G287)</f>
        <v>29350</v>
      </c>
      <c r="H288" s="8"/>
      <c r="I288" s="4"/>
      <c r="J288" s="69">
        <f>+SUBTOTAL(109,J275:J287)</f>
        <v>45839500</v>
      </c>
      <c r="K288" s="4"/>
    </row>
    <row r="289" spans="1:12" ht="17.25" x14ac:dyDescent="0.25">
      <c r="A289" s="224">
        <v>10</v>
      </c>
      <c r="B289" s="77" t="s">
        <v>171</v>
      </c>
      <c r="C289" s="42" t="s">
        <v>24</v>
      </c>
      <c r="D289" s="44">
        <v>46028</v>
      </c>
      <c r="E289" s="44">
        <v>46047</v>
      </c>
      <c r="F289" s="78"/>
      <c r="G289" s="68">
        <v>1000</v>
      </c>
      <c r="H289" s="4">
        <f t="shared" ref="H289" si="95">E289-D289+1</f>
        <v>20</v>
      </c>
      <c r="I289" s="4">
        <v>45</v>
      </c>
      <c r="J289" s="94">
        <f>+I289*H289*G289</f>
        <v>900000</v>
      </c>
      <c r="K289" s="4" t="s">
        <v>188</v>
      </c>
      <c r="L289" s="85" t="s">
        <v>226</v>
      </c>
    </row>
    <row r="290" spans="1:12" ht="16.5" x14ac:dyDescent="0.25">
      <c r="A290" s="225"/>
      <c r="B290" s="226" t="s">
        <v>20</v>
      </c>
      <c r="C290" s="227"/>
      <c r="D290" s="227"/>
      <c r="E290" s="227"/>
      <c r="F290" s="228"/>
      <c r="G290" s="69">
        <f>SUM(G289:G289)</f>
        <v>1000</v>
      </c>
      <c r="H290" s="8"/>
      <c r="I290" s="4"/>
      <c r="J290" s="69">
        <f>+SUBTOTAL(109,J289:J289)</f>
        <v>900000</v>
      </c>
      <c r="K290" s="95"/>
    </row>
    <row r="291" spans="1:12" ht="16.5" x14ac:dyDescent="0.25">
      <c r="A291" s="59" t="str">
        <f>ROMAN(2,0)</f>
        <v>II</v>
      </c>
      <c r="B291" s="22" t="s">
        <v>56</v>
      </c>
      <c r="C291" s="59"/>
      <c r="D291" s="59"/>
      <c r="E291" s="59"/>
      <c r="F291" s="59"/>
      <c r="G291" s="69"/>
      <c r="H291" s="8"/>
      <c r="I291" s="8"/>
      <c r="J291" s="87"/>
      <c r="K291" s="97"/>
    </row>
    <row r="292" spans="1:12" ht="16.5" x14ac:dyDescent="0.25">
      <c r="A292" s="42">
        <v>1</v>
      </c>
      <c r="B292" s="80" t="s">
        <v>58</v>
      </c>
      <c r="C292" s="42" t="s">
        <v>57</v>
      </c>
      <c r="D292" s="42"/>
      <c r="E292" s="59"/>
      <c r="F292" s="79">
        <v>16</v>
      </c>
      <c r="G292" s="79">
        <v>38</v>
      </c>
      <c r="H292" s="4"/>
      <c r="I292" s="23">
        <v>5000000</v>
      </c>
      <c r="J292" s="87"/>
      <c r="K292" s="231" t="s">
        <v>129</v>
      </c>
    </row>
    <row r="293" spans="1:12" ht="16.5" x14ac:dyDescent="0.25">
      <c r="A293" s="42">
        <v>2</v>
      </c>
      <c r="B293" s="80" t="s">
        <v>73</v>
      </c>
      <c r="C293" s="42" t="s">
        <v>57</v>
      </c>
      <c r="D293" s="42"/>
      <c r="E293" s="59"/>
      <c r="F293" s="79">
        <v>1</v>
      </c>
      <c r="G293" s="79"/>
      <c r="H293" s="8"/>
      <c r="I293" s="23">
        <v>4500000</v>
      </c>
      <c r="J293" s="87"/>
      <c r="K293" s="232"/>
    </row>
    <row r="294" spans="1:12" ht="16.5" x14ac:dyDescent="0.25">
      <c r="A294" s="211" t="s">
        <v>163</v>
      </c>
      <c r="B294" s="211"/>
      <c r="C294" s="211"/>
      <c r="D294" s="211"/>
      <c r="E294" s="211"/>
      <c r="F294" s="211"/>
      <c r="G294" s="211"/>
      <c r="H294" s="211"/>
      <c r="I294" s="211"/>
      <c r="J294" s="69">
        <f>SUBTOTAL(9,J141:J293)</f>
        <v>818972877</v>
      </c>
      <c r="K294" s="98"/>
    </row>
    <row r="295" spans="1:12" ht="16.5" x14ac:dyDescent="0.25">
      <c r="A295" s="211" t="s">
        <v>54</v>
      </c>
      <c r="B295" s="211"/>
      <c r="C295" s="211"/>
      <c r="D295" s="211"/>
      <c r="E295" s="211"/>
      <c r="F295" s="211"/>
      <c r="G295" s="211"/>
      <c r="H295" s="211"/>
      <c r="I295" s="211"/>
      <c r="J295" s="89">
        <f>ROUND(J294*8%,0)</f>
        <v>65517830</v>
      </c>
      <c r="K295" s="59"/>
    </row>
    <row r="296" spans="1:12" ht="16.5" x14ac:dyDescent="0.25">
      <c r="A296" s="211" t="s">
        <v>27</v>
      </c>
      <c r="B296" s="211"/>
      <c r="C296" s="211"/>
      <c r="D296" s="211"/>
      <c r="E296" s="211"/>
      <c r="F296" s="211"/>
      <c r="G296" s="211"/>
      <c r="H296" s="211"/>
      <c r="I296" s="211"/>
      <c r="J296" s="69">
        <f>SUM(J294:J295)</f>
        <v>884490707</v>
      </c>
      <c r="K296" s="59"/>
    </row>
    <row r="297" spans="1:12" ht="16.5" x14ac:dyDescent="0.25">
      <c r="A297" s="99" t="s">
        <v>123</v>
      </c>
      <c r="B297" s="100" t="s">
        <v>197</v>
      </c>
      <c r="C297" s="40"/>
      <c r="D297" s="40"/>
      <c r="E297" s="40"/>
      <c r="F297" s="40"/>
      <c r="G297" s="40"/>
      <c r="H297" s="40"/>
      <c r="I297" s="40"/>
      <c r="J297" s="90"/>
      <c r="K297" s="40"/>
    </row>
    <row r="298" spans="1:12" ht="16.5" x14ac:dyDescent="0.25">
      <c r="A298" s="5" t="s">
        <v>60</v>
      </c>
      <c r="B298" s="5"/>
      <c r="C298" s="30"/>
      <c r="D298" s="30"/>
      <c r="E298" s="30"/>
      <c r="F298" s="5"/>
      <c r="G298" s="5"/>
      <c r="H298" s="5"/>
      <c r="I298" s="5"/>
      <c r="J298" s="5"/>
      <c r="K298" s="30"/>
    </row>
    <row r="299" spans="1:12" ht="15.75" x14ac:dyDescent="0.25">
      <c r="A299" s="197" t="s">
        <v>21</v>
      </c>
      <c r="B299" s="197"/>
      <c r="C299" s="197"/>
      <c r="D299" s="197"/>
      <c r="E299" s="197" t="s">
        <v>22</v>
      </c>
      <c r="F299" s="197"/>
      <c r="G299" s="197"/>
      <c r="H299" s="197"/>
      <c r="I299" s="197"/>
      <c r="J299" s="197"/>
      <c r="K299" s="197"/>
    </row>
    <row r="304" spans="1:12" ht="15.75" x14ac:dyDescent="0.25">
      <c r="A304" s="197" t="s">
        <v>1</v>
      </c>
      <c r="B304" s="197"/>
      <c r="C304" s="197"/>
      <c r="D304" s="197"/>
      <c r="E304" s="197"/>
      <c r="F304" s="197"/>
      <c r="G304" s="197"/>
      <c r="H304" s="197"/>
      <c r="I304" s="197"/>
      <c r="J304" s="197"/>
      <c r="K304" s="197"/>
    </row>
    <row r="305" spans="1:11" ht="15.75" x14ac:dyDescent="0.25">
      <c r="A305" s="197" t="s">
        <v>2</v>
      </c>
      <c r="B305" s="197"/>
      <c r="C305" s="197"/>
      <c r="D305" s="197"/>
      <c r="E305" s="197"/>
      <c r="F305" s="197"/>
      <c r="G305" s="197"/>
      <c r="H305" s="197"/>
      <c r="I305" s="197"/>
      <c r="J305" s="197"/>
      <c r="K305" s="197"/>
    </row>
    <row r="306" spans="1:11" x14ac:dyDescent="0.25">
      <c r="A306" s="18"/>
      <c r="B306" s="18"/>
      <c r="C306" s="18"/>
      <c r="D306" s="18"/>
      <c r="E306" s="18"/>
      <c r="F306" s="18"/>
      <c r="G306" s="18"/>
      <c r="H306" s="18"/>
      <c r="I306" s="18"/>
      <c r="J306" s="18"/>
      <c r="K306" s="18"/>
    </row>
    <row r="307" spans="1:11" ht="20.25" x14ac:dyDescent="0.25">
      <c r="A307" s="204" t="s">
        <v>29</v>
      </c>
      <c r="B307" s="204"/>
      <c r="C307" s="204"/>
      <c r="D307" s="204"/>
      <c r="E307" s="204"/>
      <c r="F307" s="204"/>
      <c r="G307" s="204"/>
      <c r="H307" s="204"/>
      <c r="I307" s="204"/>
      <c r="J307" s="204"/>
      <c r="K307" s="204"/>
    </row>
    <row r="308" spans="1:11" ht="15.75" x14ac:dyDescent="0.25">
      <c r="A308" s="197" t="s">
        <v>245</v>
      </c>
      <c r="B308" s="197"/>
      <c r="C308" s="197"/>
      <c r="D308" s="197"/>
      <c r="E308" s="197"/>
      <c r="F308" s="197"/>
      <c r="G308" s="197"/>
      <c r="H308" s="197"/>
      <c r="I308" s="197"/>
      <c r="J308" s="197"/>
      <c r="K308" s="197"/>
    </row>
    <row r="309" spans="1:11" ht="15.75" x14ac:dyDescent="0.25">
      <c r="A309" s="60"/>
      <c r="B309" s="60"/>
      <c r="C309" s="60"/>
      <c r="D309" s="60"/>
      <c r="E309" s="60"/>
      <c r="F309" s="60"/>
      <c r="G309" s="60"/>
      <c r="H309" s="60"/>
      <c r="I309" s="60"/>
      <c r="J309" s="60"/>
      <c r="K309" s="60"/>
    </row>
    <row r="310" spans="1:11" ht="33.75" customHeight="1" x14ac:dyDescent="0.25">
      <c r="A310" s="219" t="str">
        <f>ĐCCN!$A$7</f>
        <v>- Căn cứ Hợp đồng kinh tế số 0412/HĐKT2025/TP-VIETPANEL ký ngày 04/12/2025 giữa Công ty TNHH xây dựng Việt Panel và Công ty Cổ phần Tập đoàn Thiết bị xây dựng TP về việc cho thuê thiết bị xây dựng.</v>
      </c>
      <c r="B310" s="219"/>
      <c r="C310" s="219"/>
      <c r="D310" s="219"/>
      <c r="E310" s="219"/>
      <c r="F310" s="219"/>
      <c r="G310" s="219"/>
      <c r="H310" s="219"/>
      <c r="I310" s="219"/>
      <c r="J310" s="219"/>
      <c r="K310" s="219"/>
    </row>
    <row r="311" spans="1:11" ht="16.5" x14ac:dyDescent="0.25">
      <c r="A311" s="6" t="s">
        <v>51</v>
      </c>
      <c r="B311" s="5" t="s">
        <v>144</v>
      </c>
      <c r="C311" s="30"/>
      <c r="D311" s="30"/>
      <c r="E311" s="30"/>
      <c r="F311" s="5"/>
      <c r="G311" s="5"/>
      <c r="H311" s="5"/>
      <c r="I311" s="5"/>
      <c r="J311" s="5"/>
      <c r="K311" s="30"/>
    </row>
    <row r="312" spans="1:11" ht="16.5" x14ac:dyDescent="0.25">
      <c r="A312" s="6" t="s">
        <v>59</v>
      </c>
      <c r="B312" s="6" t="s">
        <v>145</v>
      </c>
      <c r="C312" s="30"/>
      <c r="D312" s="30"/>
      <c r="E312" s="30"/>
      <c r="F312" s="5"/>
      <c r="G312" s="5"/>
      <c r="H312" s="5"/>
      <c r="I312" s="5"/>
      <c r="J312" s="5"/>
      <c r="K312" s="30"/>
    </row>
    <row r="313" spans="1:11" ht="16.5" x14ac:dyDescent="0.25">
      <c r="A313" s="6" t="s">
        <v>251</v>
      </c>
      <c r="B313" s="5"/>
      <c r="C313" s="30"/>
      <c r="D313" s="30"/>
      <c r="E313" s="30"/>
      <c r="F313" s="5"/>
      <c r="G313" s="5"/>
      <c r="H313" s="5"/>
      <c r="I313" s="5"/>
      <c r="J313" s="5"/>
      <c r="K313" s="30"/>
    </row>
    <row r="314" spans="1:11" ht="16.5" x14ac:dyDescent="0.25">
      <c r="A314" s="5" t="s">
        <v>172</v>
      </c>
      <c r="B314" s="5"/>
      <c r="C314" s="30"/>
      <c r="D314" s="30"/>
      <c r="E314" s="30"/>
      <c r="F314" s="5"/>
      <c r="G314" s="5"/>
      <c r="H314" s="5"/>
      <c r="I314" s="5"/>
      <c r="J314" s="5"/>
      <c r="K314" s="30"/>
    </row>
    <row r="315" spans="1:11" ht="16.5" x14ac:dyDescent="0.25">
      <c r="A315" s="7" t="str">
        <f>$A$12</f>
        <v>BÊN THUÊ (BÊN A): CÔNG TY TNHH XÂY DỰNG VIỆT PANEL</v>
      </c>
      <c r="B315" s="7"/>
      <c r="C315" s="40"/>
      <c r="D315" s="40"/>
      <c r="E315" s="40"/>
      <c r="F315" s="7"/>
      <c r="G315" s="7"/>
      <c r="H315" s="7"/>
      <c r="I315" s="7"/>
      <c r="J315" s="7"/>
      <c r="K315" s="40"/>
    </row>
    <row r="316" spans="1:11" ht="16.5" x14ac:dyDescent="0.25">
      <c r="A316" s="5" t="s">
        <v>125</v>
      </c>
      <c r="B316" s="5" t="str">
        <f>ĐCCN!$C$9</f>
        <v>Thôn Đông Phù, Xã Tiên Du, Tỉnh Bắc Ninh, Việt Nam</v>
      </c>
      <c r="C316" s="30"/>
      <c r="D316" s="30"/>
      <c r="E316" s="30"/>
      <c r="F316" s="5"/>
      <c r="G316" s="5"/>
      <c r="H316" s="5"/>
      <c r="I316" s="5"/>
      <c r="J316" s="5"/>
      <c r="K316" s="30"/>
    </row>
    <row r="317" spans="1:11" ht="16.5" x14ac:dyDescent="0.25">
      <c r="A317" s="5" t="s">
        <v>5</v>
      </c>
      <c r="B317" s="5"/>
      <c r="C317" s="198" t="str">
        <f>ĐCCN!$C$10</f>
        <v>0222 6535 699</v>
      </c>
      <c r="D317" s="208"/>
      <c r="E317" s="5"/>
      <c r="F317" s="5"/>
      <c r="G317" s="5"/>
      <c r="H317" s="5"/>
      <c r="I317" s="5"/>
      <c r="J317" s="5"/>
      <c r="K317" s="30"/>
    </row>
    <row r="318" spans="1:11" ht="16.5" x14ac:dyDescent="0.25">
      <c r="A318" s="5" t="s">
        <v>4</v>
      </c>
      <c r="B318" s="5"/>
      <c r="C318" s="209">
        <f>ĐCCN!$C$11</f>
        <v>616139999</v>
      </c>
      <c r="D318" s="209"/>
      <c r="E318" s="41" t="str">
        <f>ĐCCN!$E$11</f>
        <v>Tại MB Ngân hàng quân đội</v>
      </c>
      <c r="F318" s="5"/>
      <c r="G318" s="5"/>
      <c r="H318" s="5"/>
      <c r="I318" s="5"/>
      <c r="J318" s="5"/>
      <c r="K318" s="30"/>
    </row>
    <row r="319" spans="1:11" ht="16.5" x14ac:dyDescent="0.25">
      <c r="A319" s="5" t="s">
        <v>6</v>
      </c>
      <c r="B319" s="6"/>
      <c r="C319" s="198" t="str">
        <f>ĐCCN!$C$12</f>
        <v>2300856941</v>
      </c>
      <c r="D319" s="198"/>
      <c r="E319" s="6"/>
      <c r="F319" s="6"/>
      <c r="G319" s="5"/>
      <c r="H319" s="5"/>
      <c r="I319" s="5"/>
      <c r="J319" s="5"/>
      <c r="K319" s="30"/>
    </row>
    <row r="320" spans="1:11" ht="16.5" x14ac:dyDescent="0.25">
      <c r="A320" s="5" t="s">
        <v>7</v>
      </c>
      <c r="B320" s="5"/>
      <c r="C320" s="7" t="str">
        <f>ĐCCN!$C$13</f>
        <v>Ông Lưu Đình Cải</v>
      </c>
      <c r="D320" s="40"/>
      <c r="E320" s="5" t="str">
        <f>ĐCCN!$E$13</f>
        <v>Chức vụ: Giám đốc</v>
      </c>
      <c r="F320" s="5"/>
      <c r="G320" s="5"/>
      <c r="H320" s="5"/>
      <c r="I320" s="5"/>
      <c r="J320" s="5"/>
      <c r="K320" s="30"/>
    </row>
    <row r="321" spans="1:12" ht="16.5" x14ac:dyDescent="0.25">
      <c r="A321" s="5"/>
      <c r="B321" s="5"/>
      <c r="C321" s="30"/>
      <c r="D321" s="30"/>
      <c r="E321" s="30"/>
      <c r="F321" s="5"/>
      <c r="G321" s="5"/>
      <c r="H321" s="5"/>
      <c r="I321" s="5"/>
      <c r="J321" s="5"/>
      <c r="K321" s="30"/>
    </row>
    <row r="322" spans="1:12" ht="16.5" x14ac:dyDescent="0.25">
      <c r="A322" s="7" t="s">
        <v>8</v>
      </c>
      <c r="B322" s="7"/>
      <c r="C322" s="40"/>
      <c r="D322" s="40"/>
      <c r="E322" s="40"/>
      <c r="F322" s="7"/>
      <c r="G322" s="7"/>
      <c r="H322" s="7"/>
      <c r="I322" s="7"/>
      <c r="J322" s="7"/>
      <c r="K322" s="40"/>
    </row>
    <row r="323" spans="1:12" ht="16.5" x14ac:dyDescent="0.25">
      <c r="A323" s="5" t="s">
        <v>115</v>
      </c>
      <c r="B323" s="5"/>
      <c r="C323" s="30"/>
      <c r="D323" s="30"/>
      <c r="E323" s="30"/>
      <c r="F323" s="5"/>
      <c r="G323" s="5"/>
      <c r="H323" s="5"/>
      <c r="I323" s="5"/>
      <c r="J323" s="5"/>
      <c r="K323" s="30"/>
    </row>
    <row r="324" spans="1:12" ht="16.5" x14ac:dyDescent="0.25">
      <c r="A324" s="5" t="s">
        <v>5</v>
      </c>
      <c r="B324" s="5"/>
      <c r="C324" s="6" t="s">
        <v>9</v>
      </c>
      <c r="D324" s="24"/>
      <c r="E324" s="30"/>
      <c r="F324" s="5"/>
      <c r="G324" s="5"/>
      <c r="H324" s="5"/>
      <c r="I324" s="5"/>
      <c r="J324" s="5"/>
      <c r="K324" s="30"/>
    </row>
    <row r="325" spans="1:12" ht="16.5" x14ac:dyDescent="0.25">
      <c r="A325" s="5" t="s">
        <v>10</v>
      </c>
      <c r="B325" s="5"/>
      <c r="C325" s="32" t="str">
        <f>$C$22</f>
        <v>8331100096008</v>
      </c>
      <c r="D325" s="17"/>
      <c r="E325" s="201" t="str">
        <f>$E$22</f>
        <v>Tại Ngân hàng Thương mại cổ phần Quân đội - Chi nhánh Hoàng Quốc Việt</v>
      </c>
      <c r="F325" s="201"/>
      <c r="G325" s="201"/>
      <c r="H325" s="201"/>
      <c r="I325" s="201"/>
      <c r="J325" s="201"/>
      <c r="K325" s="201"/>
    </row>
    <row r="326" spans="1:12" ht="16.5" x14ac:dyDescent="0.25">
      <c r="A326" s="5" t="s">
        <v>6</v>
      </c>
      <c r="B326" s="5"/>
      <c r="C326" s="6" t="s">
        <v>19</v>
      </c>
      <c r="D326" s="24"/>
      <c r="E326" s="41"/>
      <c r="F326" s="5"/>
      <c r="G326" s="5"/>
      <c r="H326" s="5"/>
      <c r="I326" s="5"/>
      <c r="J326" s="5"/>
      <c r="K326" s="30"/>
    </row>
    <row r="327" spans="1:12" ht="16.5" x14ac:dyDescent="0.25">
      <c r="A327" s="5" t="s">
        <v>7</v>
      </c>
      <c r="B327" s="5"/>
      <c r="C327" s="7" t="s">
        <v>116</v>
      </c>
      <c r="D327" s="40"/>
      <c r="E327" s="41" t="s">
        <v>117</v>
      </c>
      <c r="F327" s="5"/>
      <c r="G327" s="5"/>
      <c r="H327" s="5"/>
      <c r="I327" s="5"/>
      <c r="J327" s="5"/>
      <c r="K327" s="30"/>
    </row>
    <row r="328" spans="1:12" ht="16.5" x14ac:dyDescent="0.25">
      <c r="A328" s="5"/>
      <c r="B328" s="5"/>
      <c r="C328" s="30"/>
      <c r="D328" s="30"/>
      <c r="E328" s="30"/>
      <c r="F328" s="5"/>
      <c r="G328" s="5"/>
      <c r="H328" s="5"/>
      <c r="I328" s="5"/>
      <c r="J328" s="5"/>
      <c r="K328" s="30"/>
    </row>
    <row r="329" spans="1:12" ht="16.5" x14ac:dyDescent="0.25">
      <c r="A329" s="5" t="s">
        <v>252</v>
      </c>
      <c r="B329" s="5"/>
      <c r="C329" s="30"/>
      <c r="D329" s="30"/>
      <c r="E329" s="30"/>
      <c r="F329" s="5"/>
      <c r="G329" s="5"/>
      <c r="H329" s="5"/>
      <c r="I329" s="5"/>
      <c r="J329" s="5"/>
      <c r="K329" s="30"/>
    </row>
    <row r="331" spans="1:12" ht="66" x14ac:dyDescent="0.25">
      <c r="A331" s="3" t="s">
        <v>12</v>
      </c>
      <c r="B331" s="3" t="s">
        <v>13</v>
      </c>
      <c r="C331" s="3" t="s">
        <v>23</v>
      </c>
      <c r="D331" s="3" t="s">
        <v>61</v>
      </c>
      <c r="E331" s="3" t="s">
        <v>14</v>
      </c>
      <c r="F331" s="3" t="s">
        <v>15</v>
      </c>
      <c r="G331" s="3" t="s">
        <v>16</v>
      </c>
      <c r="H331" s="3" t="s">
        <v>17</v>
      </c>
      <c r="I331" s="3" t="s">
        <v>26</v>
      </c>
      <c r="J331" s="59" t="s">
        <v>25</v>
      </c>
      <c r="K331" s="59" t="s">
        <v>18</v>
      </c>
      <c r="L331" s="85">
        <f>+G334+G343+G349+G354+G358+G363+G372+G375+G381+G383</f>
        <v>473820</v>
      </c>
    </row>
    <row r="332" spans="1:12" ht="36.75" customHeight="1" x14ac:dyDescent="0.25">
      <c r="A332" s="3" t="str">
        <f>ROMAN(1,0)</f>
        <v>I</v>
      </c>
      <c r="B332" s="21" t="s">
        <v>55</v>
      </c>
      <c r="C332" s="3"/>
      <c r="D332" s="3"/>
      <c r="E332" s="3"/>
      <c r="F332" s="3"/>
      <c r="G332" s="3"/>
      <c r="H332" s="3"/>
      <c r="I332" s="3"/>
      <c r="J332" s="69">
        <f>SUBTOTAL(9,J333:J383)</f>
        <v>619222114</v>
      </c>
      <c r="K332" s="42"/>
    </row>
    <row r="333" spans="1:12" ht="36.75" customHeight="1" x14ac:dyDescent="0.25">
      <c r="A333" s="229">
        <v>1</v>
      </c>
      <c r="B333" s="77" t="s">
        <v>148</v>
      </c>
      <c r="C333" s="42" t="s">
        <v>49</v>
      </c>
      <c r="D333" s="44">
        <v>46048</v>
      </c>
      <c r="E333" s="44">
        <v>46078</v>
      </c>
      <c r="F333" s="78">
        <v>21400</v>
      </c>
      <c r="G333" s="68">
        <f>+F333</f>
        <v>21400</v>
      </c>
      <c r="H333" s="4">
        <f>E333-D333+1-15</f>
        <v>16</v>
      </c>
      <c r="I333" s="4">
        <v>85</v>
      </c>
      <c r="J333" s="94">
        <f>+I333*H333*G333</f>
        <v>29104000</v>
      </c>
      <c r="K333" s="233" t="s">
        <v>253</v>
      </c>
    </row>
    <row r="334" spans="1:12" ht="36.75" customHeight="1" x14ac:dyDescent="0.25">
      <c r="A334" s="229"/>
      <c r="B334" s="226" t="s">
        <v>20</v>
      </c>
      <c r="C334" s="227"/>
      <c r="D334" s="227"/>
      <c r="E334" s="227"/>
      <c r="F334" s="228"/>
      <c r="G334" s="69">
        <f>SUM(G333:G333)</f>
        <v>21400</v>
      </c>
      <c r="H334" s="4"/>
      <c r="I334" s="4"/>
      <c r="J334" s="69">
        <f>+SUBTOTAL(109,J333:J333)</f>
        <v>29104000</v>
      </c>
      <c r="K334" s="234"/>
    </row>
    <row r="335" spans="1:12" ht="36.75" customHeight="1" x14ac:dyDescent="0.25">
      <c r="A335" s="224">
        <v>2</v>
      </c>
      <c r="B335" s="77" t="s">
        <v>122</v>
      </c>
      <c r="C335" s="42" t="s">
        <v>49</v>
      </c>
      <c r="D335" s="44">
        <v>46048</v>
      </c>
      <c r="E335" s="44">
        <v>46078</v>
      </c>
      <c r="F335" s="78">
        <v>26000</v>
      </c>
      <c r="G335" s="68">
        <v>26000</v>
      </c>
      <c r="H335" s="4">
        <f t="shared" ref="H335:H368" si="96">E335-D335+1-15</f>
        <v>16</v>
      </c>
      <c r="I335" s="4">
        <v>125</v>
      </c>
      <c r="J335" s="94">
        <f t="shared" ref="J335:J342" si="97">+I335*H335*G335</f>
        <v>52000000</v>
      </c>
      <c r="K335" s="234"/>
    </row>
    <row r="336" spans="1:12" ht="36.75" customHeight="1" x14ac:dyDescent="0.25">
      <c r="A336" s="230"/>
      <c r="B336" s="77" t="s">
        <v>122</v>
      </c>
      <c r="C336" s="42" t="s">
        <v>49</v>
      </c>
      <c r="D336" s="44">
        <v>46048</v>
      </c>
      <c r="E336" s="44">
        <v>46078</v>
      </c>
      <c r="F336" s="79"/>
      <c r="G336" s="68">
        <v>700</v>
      </c>
      <c r="H336" s="4">
        <f t="shared" si="96"/>
        <v>16</v>
      </c>
      <c r="I336" s="4">
        <v>125</v>
      </c>
      <c r="J336" s="94">
        <f t="shared" si="97"/>
        <v>1400000</v>
      </c>
      <c r="K336" s="234"/>
      <c r="L336" s="85" t="s">
        <v>170</v>
      </c>
    </row>
    <row r="337" spans="1:13" ht="36.75" customHeight="1" x14ac:dyDescent="0.25">
      <c r="A337" s="230"/>
      <c r="B337" s="77" t="s">
        <v>122</v>
      </c>
      <c r="C337" s="42" t="s">
        <v>49</v>
      </c>
      <c r="D337" s="44">
        <v>46049</v>
      </c>
      <c r="E337" s="44">
        <v>46078</v>
      </c>
      <c r="F337" s="79"/>
      <c r="G337" s="68">
        <v>1400</v>
      </c>
      <c r="H337" s="4">
        <f>E337-D337+1-15</f>
        <v>15</v>
      </c>
      <c r="I337" s="4">
        <v>125</v>
      </c>
      <c r="J337" s="94">
        <f t="shared" si="97"/>
        <v>2625000</v>
      </c>
      <c r="K337" s="234"/>
      <c r="L337" s="85" t="s">
        <v>250</v>
      </c>
      <c r="M337" s="1" t="s">
        <v>260</v>
      </c>
    </row>
    <row r="338" spans="1:13" ht="36.75" customHeight="1" x14ac:dyDescent="0.25">
      <c r="A338" s="230"/>
      <c r="B338" s="77" t="s">
        <v>122</v>
      </c>
      <c r="C338" s="42" t="s">
        <v>49</v>
      </c>
      <c r="D338" s="44">
        <v>46049</v>
      </c>
      <c r="E338" s="44">
        <v>46078</v>
      </c>
      <c r="F338" s="79"/>
      <c r="G338" s="68">
        <v>1400</v>
      </c>
      <c r="H338" s="4">
        <f>E338-D338+1-15</f>
        <v>15</v>
      </c>
      <c r="I338" s="4">
        <v>125</v>
      </c>
      <c r="J338" s="94">
        <f t="shared" si="97"/>
        <v>2625000</v>
      </c>
      <c r="K338" s="234"/>
      <c r="L338" s="85" t="s">
        <v>247</v>
      </c>
    </row>
    <row r="339" spans="1:13" ht="36.75" customHeight="1" x14ac:dyDescent="0.25">
      <c r="A339" s="230"/>
      <c r="B339" s="77" t="s">
        <v>122</v>
      </c>
      <c r="C339" s="42" t="s">
        <v>49</v>
      </c>
      <c r="D339" s="44">
        <v>46059</v>
      </c>
      <c r="E339" s="44">
        <v>46078</v>
      </c>
      <c r="F339" s="79"/>
      <c r="G339" s="68">
        <v>500</v>
      </c>
      <c r="H339" s="4">
        <f t="shared" si="96"/>
        <v>5</v>
      </c>
      <c r="I339" s="4">
        <v>125</v>
      </c>
      <c r="J339" s="94">
        <f t="shared" si="97"/>
        <v>312500</v>
      </c>
      <c r="K339" s="234"/>
      <c r="L339" s="85" t="s">
        <v>168</v>
      </c>
    </row>
    <row r="340" spans="1:13" ht="36.75" customHeight="1" x14ac:dyDescent="0.25">
      <c r="A340" s="230"/>
      <c r="B340" s="77" t="s">
        <v>122</v>
      </c>
      <c r="C340" s="42" t="s">
        <v>49</v>
      </c>
      <c r="D340" s="44">
        <v>46059</v>
      </c>
      <c r="E340" s="44">
        <v>46078</v>
      </c>
      <c r="F340" s="79"/>
      <c r="G340" s="68">
        <v>500</v>
      </c>
      <c r="H340" s="4">
        <f t="shared" si="96"/>
        <v>5</v>
      </c>
      <c r="I340" s="4">
        <v>125</v>
      </c>
      <c r="J340" s="94">
        <f t="shared" si="97"/>
        <v>312500</v>
      </c>
      <c r="K340" s="234"/>
      <c r="L340" s="85" t="s">
        <v>169</v>
      </c>
    </row>
    <row r="341" spans="1:13" ht="36.75" customHeight="1" x14ac:dyDescent="0.25">
      <c r="A341" s="230"/>
      <c r="B341" s="77" t="s">
        <v>122</v>
      </c>
      <c r="C341" s="42" t="s">
        <v>49</v>
      </c>
      <c r="D341" s="44">
        <v>46061</v>
      </c>
      <c r="E341" s="44">
        <v>46078</v>
      </c>
      <c r="F341" s="79"/>
      <c r="G341" s="68">
        <v>600</v>
      </c>
      <c r="H341" s="4">
        <f t="shared" si="96"/>
        <v>3</v>
      </c>
      <c r="I341" s="4">
        <v>125</v>
      </c>
      <c r="J341" s="94">
        <f t="shared" si="97"/>
        <v>225000</v>
      </c>
      <c r="K341" s="234"/>
      <c r="L341" s="85" t="s">
        <v>248</v>
      </c>
      <c r="M341" s="1" t="s">
        <v>261</v>
      </c>
    </row>
    <row r="342" spans="1:13" ht="36.75" customHeight="1" x14ac:dyDescent="0.25">
      <c r="A342" s="230"/>
      <c r="B342" s="77" t="s">
        <v>122</v>
      </c>
      <c r="C342" s="42" t="s">
        <v>49</v>
      </c>
      <c r="D342" s="44">
        <v>46061</v>
      </c>
      <c r="E342" s="44">
        <v>46078</v>
      </c>
      <c r="F342" s="78"/>
      <c r="G342" s="68">
        <v>1200</v>
      </c>
      <c r="H342" s="4">
        <f t="shared" si="96"/>
        <v>3</v>
      </c>
      <c r="I342" s="4">
        <v>125</v>
      </c>
      <c r="J342" s="94">
        <f t="shared" si="97"/>
        <v>450000</v>
      </c>
      <c r="K342" s="234"/>
      <c r="L342" s="85" t="s">
        <v>249</v>
      </c>
    </row>
    <row r="343" spans="1:13" ht="36.75" customHeight="1" x14ac:dyDescent="0.25">
      <c r="A343" s="225"/>
      <c r="B343" s="226" t="s">
        <v>20</v>
      </c>
      <c r="C343" s="227"/>
      <c r="D343" s="227"/>
      <c r="E343" s="227"/>
      <c r="F343" s="228"/>
      <c r="G343" s="69">
        <f>SUM(G335:G342)</f>
        <v>32300</v>
      </c>
      <c r="H343" s="4"/>
      <c r="I343" s="4"/>
      <c r="J343" s="69">
        <f>+SUBTOTAL(109,J335:J342)</f>
        <v>59950000</v>
      </c>
      <c r="K343" s="234"/>
    </row>
    <row r="344" spans="1:13" ht="36.75" customHeight="1" x14ac:dyDescent="0.25">
      <c r="A344" s="224">
        <v>3</v>
      </c>
      <c r="B344" s="77" t="s">
        <v>118</v>
      </c>
      <c r="C344" s="42" t="s">
        <v>49</v>
      </c>
      <c r="D344" s="44">
        <v>46048</v>
      </c>
      <c r="E344" s="44">
        <v>46078</v>
      </c>
      <c r="F344" s="78">
        <v>1100</v>
      </c>
      <c r="G344" s="68">
        <f>+F344</f>
        <v>1100</v>
      </c>
      <c r="H344" s="4">
        <f t="shared" si="96"/>
        <v>16</v>
      </c>
      <c r="I344" s="4">
        <v>159</v>
      </c>
      <c r="J344" s="94">
        <f>+I344*H344*G344</f>
        <v>2798400</v>
      </c>
      <c r="K344" s="234"/>
    </row>
    <row r="345" spans="1:13" ht="36.75" customHeight="1" x14ac:dyDescent="0.25">
      <c r="A345" s="230"/>
      <c r="B345" s="77" t="s">
        <v>118</v>
      </c>
      <c r="C345" s="42" t="s">
        <v>49</v>
      </c>
      <c r="D345" s="44">
        <v>46059</v>
      </c>
      <c r="E345" s="44">
        <v>46078</v>
      </c>
      <c r="F345" s="81"/>
      <c r="G345" s="68">
        <v>1200</v>
      </c>
      <c r="H345" s="4">
        <f>E345-D345+1-15</f>
        <v>5</v>
      </c>
      <c r="I345" s="4">
        <v>159</v>
      </c>
      <c r="J345" s="94">
        <f>+I345*H345*G345</f>
        <v>954000</v>
      </c>
      <c r="K345" s="234"/>
      <c r="L345" s="85" t="s">
        <v>168</v>
      </c>
    </row>
    <row r="346" spans="1:13" ht="36.75" customHeight="1" x14ac:dyDescent="0.25">
      <c r="A346" s="230"/>
      <c r="B346" s="77" t="s">
        <v>118</v>
      </c>
      <c r="C346" s="42" t="s">
        <v>49</v>
      </c>
      <c r="D346" s="44">
        <v>46059</v>
      </c>
      <c r="E346" s="44">
        <v>46078</v>
      </c>
      <c r="F346" s="81"/>
      <c r="G346" s="68">
        <v>1200</v>
      </c>
      <c r="H346" s="4">
        <f t="shared" si="96"/>
        <v>5</v>
      </c>
      <c r="I346" s="4">
        <v>159</v>
      </c>
      <c r="J346" s="94">
        <f>+I346*H346*G346</f>
        <v>954000</v>
      </c>
      <c r="K346" s="234"/>
      <c r="L346" s="85" t="s">
        <v>169</v>
      </c>
    </row>
    <row r="347" spans="1:13" ht="36.75" customHeight="1" x14ac:dyDescent="0.25">
      <c r="A347" s="230"/>
      <c r="B347" s="77" t="s">
        <v>118</v>
      </c>
      <c r="C347" s="42" t="s">
        <v>49</v>
      </c>
      <c r="D347" s="44">
        <v>46061</v>
      </c>
      <c r="E347" s="44">
        <v>46078</v>
      </c>
      <c r="F347" s="81"/>
      <c r="G347" s="68">
        <v>1600</v>
      </c>
      <c r="H347" s="4">
        <f t="shared" si="96"/>
        <v>3</v>
      </c>
      <c r="I347" s="4">
        <v>159</v>
      </c>
      <c r="J347" s="94">
        <f>+I347*H347*G347</f>
        <v>763200</v>
      </c>
      <c r="K347" s="234"/>
      <c r="L347" s="85" t="s">
        <v>248</v>
      </c>
      <c r="M347" s="1" t="s">
        <v>261</v>
      </c>
    </row>
    <row r="348" spans="1:13" ht="36.75" customHeight="1" x14ac:dyDescent="0.25">
      <c r="A348" s="230"/>
      <c r="B348" s="77" t="s">
        <v>118</v>
      </c>
      <c r="C348" s="42" t="s">
        <v>49</v>
      </c>
      <c r="D348" s="44">
        <v>46061</v>
      </c>
      <c r="E348" s="44">
        <v>46078</v>
      </c>
      <c r="F348" s="81"/>
      <c r="G348" s="68">
        <v>1200</v>
      </c>
      <c r="H348" s="4">
        <f t="shared" si="96"/>
        <v>3</v>
      </c>
      <c r="I348" s="4">
        <v>159</v>
      </c>
      <c r="J348" s="94">
        <f>+I348*H348*G348</f>
        <v>572400</v>
      </c>
      <c r="K348" s="234"/>
      <c r="L348" s="85" t="s">
        <v>249</v>
      </c>
    </row>
    <row r="349" spans="1:13" ht="36.75" customHeight="1" x14ac:dyDescent="0.25">
      <c r="A349" s="225"/>
      <c r="B349" s="226" t="s">
        <v>20</v>
      </c>
      <c r="C349" s="227"/>
      <c r="D349" s="227"/>
      <c r="E349" s="227"/>
      <c r="F349" s="228"/>
      <c r="G349" s="69">
        <f>SUM(G344:G348)</f>
        <v>6300</v>
      </c>
      <c r="H349" s="4"/>
      <c r="I349" s="4"/>
      <c r="J349" s="69">
        <f>+SUBTOTAL(109,J344:J348)</f>
        <v>6042000</v>
      </c>
      <c r="K349" s="234"/>
    </row>
    <row r="350" spans="1:13" ht="36.75" customHeight="1" x14ac:dyDescent="0.25">
      <c r="A350" s="224">
        <v>4</v>
      </c>
      <c r="B350" s="77" t="s">
        <v>50</v>
      </c>
      <c r="C350" s="42" t="s">
        <v>49</v>
      </c>
      <c r="D350" s="44">
        <v>46048</v>
      </c>
      <c r="E350" s="44">
        <v>46078</v>
      </c>
      <c r="F350" s="78">
        <v>49247</v>
      </c>
      <c r="G350" s="68">
        <f>+F350</f>
        <v>49247</v>
      </c>
      <c r="H350" s="4">
        <f t="shared" si="96"/>
        <v>16</v>
      </c>
      <c r="I350" s="4">
        <v>185</v>
      </c>
      <c r="J350" s="94">
        <f>+I350*H350*G350</f>
        <v>145771120</v>
      </c>
      <c r="K350" s="234"/>
    </row>
    <row r="351" spans="1:13" ht="36.75" customHeight="1" x14ac:dyDescent="0.25">
      <c r="A351" s="230"/>
      <c r="B351" s="77" t="s">
        <v>50</v>
      </c>
      <c r="C351" s="42" t="s">
        <v>49</v>
      </c>
      <c r="D351" s="44">
        <v>46049</v>
      </c>
      <c r="E351" s="44">
        <v>46078</v>
      </c>
      <c r="F351" s="78"/>
      <c r="G351" s="68">
        <v>1000</v>
      </c>
      <c r="H351" s="4">
        <f>E351-D351+1-15</f>
        <v>15</v>
      </c>
      <c r="I351" s="4">
        <v>185</v>
      </c>
      <c r="J351" s="94">
        <f>+I351*H351*G351</f>
        <v>2775000</v>
      </c>
      <c r="K351" s="234"/>
      <c r="L351" s="85" t="s">
        <v>250</v>
      </c>
      <c r="M351" s="1" t="s">
        <v>260</v>
      </c>
    </row>
    <row r="352" spans="1:13" ht="36.75" customHeight="1" x14ac:dyDescent="0.25">
      <c r="A352" s="230"/>
      <c r="B352" s="77" t="s">
        <v>50</v>
      </c>
      <c r="C352" s="42" t="s">
        <v>49</v>
      </c>
      <c r="D352" s="44">
        <v>46048</v>
      </c>
      <c r="E352" s="44">
        <v>46078</v>
      </c>
      <c r="F352" s="78"/>
      <c r="G352" s="68">
        <v>1400</v>
      </c>
      <c r="H352" s="4">
        <f t="shared" si="96"/>
        <v>16</v>
      </c>
      <c r="I352" s="4">
        <v>185</v>
      </c>
      <c r="J352" s="94">
        <f>+I352*H352*G352</f>
        <v>4144000</v>
      </c>
      <c r="K352" s="234"/>
      <c r="L352" s="85" t="s">
        <v>170</v>
      </c>
    </row>
    <row r="353" spans="1:13" ht="36.75" customHeight="1" x14ac:dyDescent="0.25">
      <c r="A353" s="230"/>
      <c r="B353" s="77" t="s">
        <v>50</v>
      </c>
      <c r="C353" s="42" t="s">
        <v>49</v>
      </c>
      <c r="D353" s="44">
        <v>46049</v>
      </c>
      <c r="E353" s="44">
        <v>46078</v>
      </c>
      <c r="F353" s="78"/>
      <c r="G353" s="68">
        <v>1100</v>
      </c>
      <c r="H353" s="4">
        <f t="shared" si="96"/>
        <v>15</v>
      </c>
      <c r="I353" s="4">
        <v>185</v>
      </c>
      <c r="J353" s="94">
        <f>+I353*H353*G353</f>
        <v>3052500</v>
      </c>
      <c r="K353" s="234"/>
      <c r="L353" s="85" t="s">
        <v>247</v>
      </c>
    </row>
    <row r="354" spans="1:13" ht="36.75" customHeight="1" x14ac:dyDescent="0.25">
      <c r="A354" s="225"/>
      <c r="B354" s="211" t="s">
        <v>20</v>
      </c>
      <c r="C354" s="211"/>
      <c r="D354" s="211"/>
      <c r="E354" s="211"/>
      <c r="F354" s="211"/>
      <c r="G354" s="69">
        <f>SUM(G350:G353)</f>
        <v>52747</v>
      </c>
      <c r="H354" s="4"/>
      <c r="I354" s="4"/>
      <c r="J354" s="69">
        <f>+SUBTOTAL(109,J350:J353)</f>
        <v>155742620</v>
      </c>
      <c r="K354" s="234"/>
    </row>
    <row r="355" spans="1:13" ht="36.75" customHeight="1" x14ac:dyDescent="0.25">
      <c r="A355" s="224">
        <v>5</v>
      </c>
      <c r="B355" s="77" t="s">
        <v>126</v>
      </c>
      <c r="C355" s="42" t="s">
        <v>24</v>
      </c>
      <c r="D355" s="44">
        <v>46048</v>
      </c>
      <c r="E355" s="44">
        <v>46078</v>
      </c>
      <c r="F355" s="78">
        <v>31500</v>
      </c>
      <c r="G355" s="68">
        <f>+F355</f>
        <v>31500</v>
      </c>
      <c r="H355" s="4">
        <f t="shared" si="96"/>
        <v>16</v>
      </c>
      <c r="I355" s="4">
        <v>43</v>
      </c>
      <c r="J355" s="94">
        <f>+I355*H355*G355</f>
        <v>21672000</v>
      </c>
      <c r="K355" s="234"/>
    </row>
    <row r="356" spans="1:13" ht="36.75" customHeight="1" x14ac:dyDescent="0.25">
      <c r="A356" s="230"/>
      <c r="B356" s="77" t="s">
        <v>126</v>
      </c>
      <c r="C356" s="42" t="s">
        <v>24</v>
      </c>
      <c r="D356" s="44">
        <v>46059</v>
      </c>
      <c r="E356" s="44">
        <v>46078</v>
      </c>
      <c r="F356" s="79"/>
      <c r="G356" s="68">
        <v>2000</v>
      </c>
      <c r="H356" s="4">
        <f t="shared" si="96"/>
        <v>5</v>
      </c>
      <c r="I356" s="4">
        <v>43</v>
      </c>
      <c r="J356" s="94">
        <f>+I356*H356*G356</f>
        <v>430000</v>
      </c>
      <c r="K356" s="234"/>
      <c r="L356" s="85" t="s">
        <v>168</v>
      </c>
    </row>
    <row r="357" spans="1:13" ht="36.75" customHeight="1" x14ac:dyDescent="0.25">
      <c r="A357" s="230"/>
      <c r="B357" s="77" t="s">
        <v>126</v>
      </c>
      <c r="C357" s="42" t="s">
        <v>24</v>
      </c>
      <c r="D357" s="44">
        <v>46059</v>
      </c>
      <c r="E357" s="44">
        <v>46078</v>
      </c>
      <c r="F357" s="79"/>
      <c r="G357" s="68">
        <v>2000</v>
      </c>
      <c r="H357" s="4">
        <f t="shared" si="96"/>
        <v>5</v>
      </c>
      <c r="I357" s="4">
        <v>43</v>
      </c>
      <c r="J357" s="94">
        <f>+I357*H357*G357</f>
        <v>430000</v>
      </c>
      <c r="K357" s="234"/>
      <c r="L357" s="85" t="s">
        <v>169</v>
      </c>
    </row>
    <row r="358" spans="1:13" ht="36.75" customHeight="1" x14ac:dyDescent="0.25">
      <c r="A358" s="225"/>
      <c r="B358" s="226" t="s">
        <v>20</v>
      </c>
      <c r="C358" s="227"/>
      <c r="D358" s="227"/>
      <c r="E358" s="227"/>
      <c r="F358" s="228"/>
      <c r="G358" s="69">
        <f>SUM(G355:G357)</f>
        <v>35500</v>
      </c>
      <c r="H358" s="4"/>
      <c r="I358" s="4"/>
      <c r="J358" s="69">
        <f>+SUBTOTAL(109,J355:J357)</f>
        <v>22532000</v>
      </c>
      <c r="K358" s="234"/>
    </row>
    <row r="359" spans="1:13" ht="36.75" customHeight="1" x14ac:dyDescent="0.25">
      <c r="A359" s="224">
        <v>6</v>
      </c>
      <c r="B359" s="77" t="s">
        <v>149</v>
      </c>
      <c r="C359" s="42" t="s">
        <v>24</v>
      </c>
      <c r="D359" s="44">
        <v>46048</v>
      </c>
      <c r="E359" s="44">
        <v>46078</v>
      </c>
      <c r="F359" s="78">
        <v>21040</v>
      </c>
      <c r="G359" s="68">
        <f>+F359</f>
        <v>21040</v>
      </c>
      <c r="H359" s="4">
        <f t="shared" si="96"/>
        <v>16</v>
      </c>
      <c r="I359" s="4">
        <v>55</v>
      </c>
      <c r="J359" s="94">
        <f>+I359*H359*G359</f>
        <v>18515200</v>
      </c>
      <c r="K359" s="234"/>
    </row>
    <row r="360" spans="1:13" ht="36.75" customHeight="1" x14ac:dyDescent="0.25">
      <c r="A360" s="230"/>
      <c r="B360" s="77" t="s">
        <v>149</v>
      </c>
      <c r="C360" s="42" t="s">
        <v>24</v>
      </c>
      <c r="D360" s="44">
        <v>46059</v>
      </c>
      <c r="E360" s="44">
        <v>46078</v>
      </c>
      <c r="F360" s="79"/>
      <c r="G360" s="68">
        <v>1200</v>
      </c>
      <c r="H360" s="4">
        <f t="shared" si="96"/>
        <v>5</v>
      </c>
      <c r="I360" s="4">
        <v>55</v>
      </c>
      <c r="J360" s="94">
        <f>+I360*H360*G360</f>
        <v>330000</v>
      </c>
      <c r="K360" s="234"/>
      <c r="L360" s="85" t="s">
        <v>168</v>
      </c>
    </row>
    <row r="361" spans="1:13" ht="36.75" customHeight="1" x14ac:dyDescent="0.25">
      <c r="A361" s="230"/>
      <c r="B361" s="77" t="s">
        <v>149</v>
      </c>
      <c r="C361" s="42" t="s">
        <v>24</v>
      </c>
      <c r="D361" s="44">
        <v>46059</v>
      </c>
      <c r="E361" s="44">
        <v>46078</v>
      </c>
      <c r="F361" s="79"/>
      <c r="G361" s="68">
        <v>1200</v>
      </c>
      <c r="H361" s="4">
        <f t="shared" si="96"/>
        <v>5</v>
      </c>
      <c r="I361" s="4">
        <v>55</v>
      </c>
      <c r="J361" s="94">
        <f>+I361*H361*G361</f>
        <v>330000</v>
      </c>
      <c r="K361" s="234"/>
      <c r="L361" s="85" t="s">
        <v>169</v>
      </c>
    </row>
    <row r="362" spans="1:13" ht="36.75" customHeight="1" x14ac:dyDescent="0.25">
      <c r="A362" s="230"/>
      <c r="B362" s="77" t="s">
        <v>149</v>
      </c>
      <c r="C362" s="42" t="s">
        <v>24</v>
      </c>
      <c r="D362" s="44">
        <v>46061</v>
      </c>
      <c r="E362" s="44">
        <v>46078</v>
      </c>
      <c r="F362" s="79"/>
      <c r="G362" s="70">
        <v>400</v>
      </c>
      <c r="H362" s="4">
        <f t="shared" si="96"/>
        <v>3</v>
      </c>
      <c r="I362" s="4">
        <v>55</v>
      </c>
      <c r="J362" s="94">
        <f>+I362*H362*G362</f>
        <v>66000</v>
      </c>
      <c r="K362" s="234"/>
      <c r="L362" s="85" t="s">
        <v>248</v>
      </c>
      <c r="M362" s="1" t="s">
        <v>261</v>
      </c>
    </row>
    <row r="363" spans="1:13" ht="36.75" customHeight="1" x14ac:dyDescent="0.25">
      <c r="A363" s="225"/>
      <c r="B363" s="226" t="s">
        <v>20</v>
      </c>
      <c r="C363" s="227"/>
      <c r="D363" s="227"/>
      <c r="E363" s="227"/>
      <c r="F363" s="228"/>
      <c r="G363" s="69">
        <f>SUM(G359:G362)</f>
        <v>23840</v>
      </c>
      <c r="H363" s="4"/>
      <c r="I363" s="4"/>
      <c r="J363" s="69">
        <f>+SUBTOTAL(109,J359:J362)</f>
        <v>19241200</v>
      </c>
      <c r="K363" s="234"/>
    </row>
    <row r="364" spans="1:13" ht="36.75" customHeight="1" x14ac:dyDescent="0.25">
      <c r="A364" s="224">
        <v>7</v>
      </c>
      <c r="B364" s="77" t="s">
        <v>0</v>
      </c>
      <c r="C364" s="42" t="s">
        <v>24</v>
      </c>
      <c r="D364" s="44">
        <v>46048</v>
      </c>
      <c r="E364" s="44">
        <v>46078</v>
      </c>
      <c r="F364" s="78">
        <v>211247</v>
      </c>
      <c r="G364" s="68">
        <f>+F364</f>
        <v>211247</v>
      </c>
      <c r="H364" s="4">
        <f t="shared" si="96"/>
        <v>16</v>
      </c>
      <c r="I364" s="4">
        <v>71</v>
      </c>
      <c r="J364" s="94">
        <f t="shared" ref="J364:J371" si="98">+I364*H364*G364</f>
        <v>239976592</v>
      </c>
      <c r="K364" s="234"/>
    </row>
    <row r="365" spans="1:13" ht="36.75" customHeight="1" x14ac:dyDescent="0.25">
      <c r="A365" s="230"/>
      <c r="B365" s="77" t="s">
        <v>0</v>
      </c>
      <c r="C365" s="42" t="s">
        <v>24</v>
      </c>
      <c r="D365" s="44">
        <v>46049</v>
      </c>
      <c r="E365" s="44">
        <v>46078</v>
      </c>
      <c r="F365" s="78"/>
      <c r="G365" s="68">
        <v>4620</v>
      </c>
      <c r="H365" s="4">
        <f>E365-D365+1-15</f>
        <v>15</v>
      </c>
      <c r="I365" s="4">
        <v>71</v>
      </c>
      <c r="J365" s="94">
        <f t="shared" si="98"/>
        <v>4920300</v>
      </c>
      <c r="K365" s="234"/>
      <c r="L365" s="85" t="s">
        <v>250</v>
      </c>
      <c r="M365" s="1" t="s">
        <v>260</v>
      </c>
    </row>
    <row r="366" spans="1:13" ht="36.75" customHeight="1" x14ac:dyDescent="0.25">
      <c r="A366" s="230"/>
      <c r="B366" s="77" t="s">
        <v>0</v>
      </c>
      <c r="C366" s="42" t="s">
        <v>24</v>
      </c>
      <c r="D366" s="44">
        <v>46048</v>
      </c>
      <c r="E366" s="44">
        <v>46078</v>
      </c>
      <c r="F366" s="78"/>
      <c r="G366" s="68">
        <v>3696</v>
      </c>
      <c r="H366" s="4">
        <f t="shared" si="96"/>
        <v>16</v>
      </c>
      <c r="I366" s="4">
        <v>71</v>
      </c>
      <c r="J366" s="94">
        <f t="shared" si="98"/>
        <v>4198656</v>
      </c>
      <c r="K366" s="234"/>
      <c r="L366" s="85" t="s">
        <v>170</v>
      </c>
    </row>
    <row r="367" spans="1:13" ht="36.75" customHeight="1" x14ac:dyDescent="0.25">
      <c r="A367" s="230"/>
      <c r="B367" s="77" t="s">
        <v>0</v>
      </c>
      <c r="C367" s="42" t="s">
        <v>24</v>
      </c>
      <c r="D367" s="44">
        <v>46049</v>
      </c>
      <c r="E367" s="44">
        <v>46078</v>
      </c>
      <c r="F367" s="78"/>
      <c r="G367" s="68">
        <v>1386</v>
      </c>
      <c r="H367" s="4">
        <f>E367-D367+1-15</f>
        <v>15</v>
      </c>
      <c r="I367" s="4">
        <v>71</v>
      </c>
      <c r="J367" s="94">
        <f t="shared" si="98"/>
        <v>1476090</v>
      </c>
      <c r="K367" s="234"/>
      <c r="L367" s="85" t="s">
        <v>247</v>
      </c>
    </row>
    <row r="368" spans="1:13" ht="36.75" customHeight="1" x14ac:dyDescent="0.25">
      <c r="A368" s="230"/>
      <c r="B368" s="77" t="s">
        <v>0</v>
      </c>
      <c r="C368" s="42" t="s">
        <v>24</v>
      </c>
      <c r="D368" s="44">
        <v>46059</v>
      </c>
      <c r="E368" s="44">
        <v>46078</v>
      </c>
      <c r="F368" s="78"/>
      <c r="G368" s="68">
        <v>3696</v>
      </c>
      <c r="H368" s="4">
        <f t="shared" si="96"/>
        <v>5</v>
      </c>
      <c r="I368" s="4">
        <v>71</v>
      </c>
      <c r="J368" s="94">
        <f t="shared" si="98"/>
        <v>1312080</v>
      </c>
      <c r="K368" s="234"/>
      <c r="L368" s="85" t="s">
        <v>168</v>
      </c>
    </row>
    <row r="369" spans="1:13" ht="36.75" customHeight="1" x14ac:dyDescent="0.25">
      <c r="A369" s="230"/>
      <c r="B369" s="77" t="s">
        <v>0</v>
      </c>
      <c r="C369" s="42" t="s">
        <v>24</v>
      </c>
      <c r="D369" s="44">
        <v>46059</v>
      </c>
      <c r="E369" s="44">
        <v>46078</v>
      </c>
      <c r="F369" s="78"/>
      <c r="G369" s="68">
        <v>3696</v>
      </c>
      <c r="H369" s="4">
        <f>E369-D369+1-15</f>
        <v>5</v>
      </c>
      <c r="I369" s="4">
        <v>71</v>
      </c>
      <c r="J369" s="94">
        <f t="shared" si="98"/>
        <v>1312080</v>
      </c>
      <c r="K369" s="234"/>
      <c r="L369" s="85" t="s">
        <v>169</v>
      </c>
    </row>
    <row r="370" spans="1:13" ht="36.75" customHeight="1" x14ac:dyDescent="0.25">
      <c r="A370" s="230"/>
      <c r="B370" s="77" t="s">
        <v>0</v>
      </c>
      <c r="C370" s="42" t="s">
        <v>24</v>
      </c>
      <c r="D370" s="44">
        <v>46061</v>
      </c>
      <c r="E370" s="44">
        <v>46078</v>
      </c>
      <c r="F370" s="78"/>
      <c r="G370" s="68">
        <v>3696</v>
      </c>
      <c r="H370" s="4">
        <f>E370-D370+1-15</f>
        <v>3</v>
      </c>
      <c r="I370" s="4">
        <v>71</v>
      </c>
      <c r="J370" s="94">
        <f t="shared" si="98"/>
        <v>787248</v>
      </c>
      <c r="K370" s="234"/>
      <c r="L370" s="85" t="s">
        <v>248</v>
      </c>
      <c r="M370" s="1" t="s">
        <v>261</v>
      </c>
    </row>
    <row r="371" spans="1:13" ht="36.75" customHeight="1" x14ac:dyDescent="0.25">
      <c r="A371" s="230"/>
      <c r="B371" s="77" t="s">
        <v>0</v>
      </c>
      <c r="C371" s="42" t="s">
        <v>24</v>
      </c>
      <c r="D371" s="44">
        <v>46061</v>
      </c>
      <c r="E371" s="44">
        <v>46078</v>
      </c>
      <c r="F371" s="78"/>
      <c r="G371" s="68">
        <v>3696</v>
      </c>
      <c r="H371" s="4">
        <f>E371-D371+1-15</f>
        <v>3</v>
      </c>
      <c r="I371" s="4">
        <v>71</v>
      </c>
      <c r="J371" s="94">
        <f t="shared" si="98"/>
        <v>787248</v>
      </c>
      <c r="K371" s="234"/>
      <c r="L371" s="85" t="s">
        <v>249</v>
      </c>
    </row>
    <row r="372" spans="1:13" ht="36.75" customHeight="1" x14ac:dyDescent="0.25">
      <c r="A372" s="225"/>
      <c r="B372" s="226" t="s">
        <v>20</v>
      </c>
      <c r="C372" s="227"/>
      <c r="D372" s="227"/>
      <c r="E372" s="227"/>
      <c r="F372" s="228"/>
      <c r="G372" s="69">
        <f>SUM(G364:G371)</f>
        <v>235733</v>
      </c>
      <c r="H372" s="4"/>
      <c r="I372" s="4"/>
      <c r="J372" s="69">
        <f>+SUBTOTAL(109,J364:J371)</f>
        <v>254770294</v>
      </c>
      <c r="K372" s="234"/>
    </row>
    <row r="373" spans="1:13" ht="36.75" customHeight="1" x14ac:dyDescent="0.25">
      <c r="A373" s="224">
        <v>8</v>
      </c>
      <c r="B373" s="77" t="s">
        <v>150</v>
      </c>
      <c r="C373" s="42" t="s">
        <v>24</v>
      </c>
      <c r="D373" s="44">
        <v>46048</v>
      </c>
      <c r="E373" s="44">
        <v>46078</v>
      </c>
      <c r="F373" s="69">
        <v>32150</v>
      </c>
      <c r="G373" s="70">
        <f>+F373</f>
        <v>32150</v>
      </c>
      <c r="H373" s="4">
        <f>E373-D373+1-15</f>
        <v>16</v>
      </c>
      <c r="I373" s="67">
        <v>70</v>
      </c>
      <c r="J373" s="94">
        <f>+I373*H373*G373</f>
        <v>36008000</v>
      </c>
      <c r="K373" s="234"/>
    </row>
    <row r="374" spans="1:13" ht="36.75" customHeight="1" x14ac:dyDescent="0.25">
      <c r="A374" s="230"/>
      <c r="B374" s="77" t="s">
        <v>150</v>
      </c>
      <c r="C374" s="42" t="s">
        <v>24</v>
      </c>
      <c r="D374" s="44">
        <v>46049</v>
      </c>
      <c r="E374" s="44">
        <v>46078</v>
      </c>
      <c r="F374" s="79"/>
      <c r="G374" s="70">
        <v>1000</v>
      </c>
      <c r="H374" s="4">
        <f>E374-D374+1-15</f>
        <v>15</v>
      </c>
      <c r="I374" s="67">
        <v>70</v>
      </c>
      <c r="J374" s="94">
        <f>+I374*H374*G374</f>
        <v>1050000</v>
      </c>
      <c r="K374" s="234"/>
      <c r="L374" s="85" t="s">
        <v>247</v>
      </c>
    </row>
    <row r="375" spans="1:13" ht="36.75" customHeight="1" x14ac:dyDescent="0.25">
      <c r="A375" s="225"/>
      <c r="B375" s="226" t="s">
        <v>20</v>
      </c>
      <c r="C375" s="227"/>
      <c r="D375" s="227"/>
      <c r="E375" s="227"/>
      <c r="F375" s="228"/>
      <c r="G375" s="69">
        <f>SUM(G373:G374)</f>
        <v>33150</v>
      </c>
      <c r="H375" s="4"/>
      <c r="I375" s="4"/>
      <c r="J375" s="69">
        <f>+SUBTOTAL(109,J373:J374)</f>
        <v>37058000</v>
      </c>
      <c r="K375" s="234"/>
    </row>
    <row r="376" spans="1:13" ht="36.75" customHeight="1" x14ac:dyDescent="0.25">
      <c r="A376" s="224">
        <v>9</v>
      </c>
      <c r="B376" s="77" t="s">
        <v>151</v>
      </c>
      <c r="C376" s="42" t="s">
        <v>24</v>
      </c>
      <c r="D376" s="44">
        <v>46048</v>
      </c>
      <c r="E376" s="44">
        <v>46078</v>
      </c>
      <c r="F376" s="78">
        <v>29350</v>
      </c>
      <c r="G376" s="68">
        <f>+F376</f>
        <v>29350</v>
      </c>
      <c r="H376" s="4">
        <f>E376-D376+1-15</f>
        <v>16</v>
      </c>
      <c r="I376" s="4">
        <v>70</v>
      </c>
      <c r="J376" s="94">
        <f>+I376*H376*G376</f>
        <v>32872000</v>
      </c>
      <c r="K376" s="234"/>
    </row>
    <row r="377" spans="1:13" ht="36.75" customHeight="1" x14ac:dyDescent="0.25">
      <c r="A377" s="230"/>
      <c r="B377" s="77" t="s">
        <v>151</v>
      </c>
      <c r="C377" s="42" t="s">
        <v>24</v>
      </c>
      <c r="D377" s="44">
        <v>46048</v>
      </c>
      <c r="E377" s="44">
        <v>46078</v>
      </c>
      <c r="F377" s="78"/>
      <c r="G377" s="68">
        <v>500</v>
      </c>
      <c r="H377" s="4">
        <f>E377-D377+1-15</f>
        <v>16</v>
      </c>
      <c r="I377" s="4">
        <v>70</v>
      </c>
      <c r="J377" s="94">
        <f>+I377*H377*G377</f>
        <v>560000</v>
      </c>
      <c r="K377" s="234"/>
      <c r="L377" s="85" t="s">
        <v>170</v>
      </c>
    </row>
    <row r="378" spans="1:13" ht="36.75" customHeight="1" x14ac:dyDescent="0.25">
      <c r="A378" s="230"/>
      <c r="B378" s="77" t="s">
        <v>151</v>
      </c>
      <c r="C378" s="42" t="s">
        <v>24</v>
      </c>
      <c r="D378" s="44">
        <v>46059</v>
      </c>
      <c r="E378" s="44">
        <v>46078</v>
      </c>
      <c r="F378" s="78"/>
      <c r="G378" s="68">
        <v>750</v>
      </c>
      <c r="H378" s="4">
        <f>E378-D378+1-15</f>
        <v>5</v>
      </c>
      <c r="I378" s="4">
        <v>70</v>
      </c>
      <c r="J378" s="94">
        <f>+I378*H378*G378</f>
        <v>262500</v>
      </c>
      <c r="K378" s="234"/>
      <c r="L378" s="85" t="s">
        <v>168</v>
      </c>
    </row>
    <row r="379" spans="1:13" ht="36.75" customHeight="1" x14ac:dyDescent="0.25">
      <c r="A379" s="230"/>
      <c r="B379" s="77" t="s">
        <v>151</v>
      </c>
      <c r="C379" s="42" t="s">
        <v>24</v>
      </c>
      <c r="D379" s="44">
        <v>46059</v>
      </c>
      <c r="E379" s="44">
        <v>46078</v>
      </c>
      <c r="F379" s="78"/>
      <c r="G379" s="68">
        <v>750</v>
      </c>
      <c r="H379" s="4">
        <f>E379-D379+1-15</f>
        <v>5</v>
      </c>
      <c r="I379" s="4">
        <v>70</v>
      </c>
      <c r="J379" s="94">
        <f>+I379*H379*G379</f>
        <v>262500</v>
      </c>
      <c r="K379" s="234"/>
      <c r="L379" s="85" t="s">
        <v>169</v>
      </c>
    </row>
    <row r="380" spans="1:13" ht="36.75" customHeight="1" x14ac:dyDescent="0.25">
      <c r="A380" s="230"/>
      <c r="B380" s="77" t="s">
        <v>151</v>
      </c>
      <c r="C380" s="42" t="s">
        <v>24</v>
      </c>
      <c r="D380" s="44">
        <v>46061</v>
      </c>
      <c r="E380" s="44">
        <v>46078</v>
      </c>
      <c r="F380" s="78"/>
      <c r="G380" s="68">
        <v>500</v>
      </c>
      <c r="H380" s="4">
        <f>E380-D380+1-15</f>
        <v>3</v>
      </c>
      <c r="I380" s="4">
        <v>70</v>
      </c>
      <c r="J380" s="94">
        <f>+I380*H380*G380</f>
        <v>105000</v>
      </c>
      <c r="K380" s="234"/>
      <c r="L380" s="85" t="s">
        <v>248</v>
      </c>
      <c r="M380" s="1" t="s">
        <v>261</v>
      </c>
    </row>
    <row r="381" spans="1:13" ht="36.75" customHeight="1" x14ac:dyDescent="0.25">
      <c r="A381" s="225"/>
      <c r="B381" s="226" t="s">
        <v>20</v>
      </c>
      <c r="C381" s="227"/>
      <c r="D381" s="227"/>
      <c r="E381" s="227"/>
      <c r="F381" s="228"/>
      <c r="G381" s="69">
        <f>SUM(G376:G380)</f>
        <v>31850</v>
      </c>
      <c r="H381" s="4"/>
      <c r="I381" s="4"/>
      <c r="J381" s="69">
        <f>+SUBTOTAL(109,J376:J380)</f>
        <v>34062000</v>
      </c>
      <c r="K381" s="234"/>
    </row>
    <row r="382" spans="1:13" ht="36.75" customHeight="1" x14ac:dyDescent="0.25">
      <c r="A382" s="224">
        <v>10</v>
      </c>
      <c r="B382" s="77" t="s">
        <v>171</v>
      </c>
      <c r="C382" s="42" t="s">
        <v>24</v>
      </c>
      <c r="D382" s="44">
        <v>46048</v>
      </c>
      <c r="E382" s="44">
        <v>46078</v>
      </c>
      <c r="F382" s="78">
        <v>1000</v>
      </c>
      <c r="G382" s="68">
        <f>+F382</f>
        <v>1000</v>
      </c>
      <c r="H382" s="4">
        <f>E382-D382+1-15</f>
        <v>16</v>
      </c>
      <c r="I382" s="4">
        <v>45</v>
      </c>
      <c r="J382" s="94">
        <f>+I382*H382*G382</f>
        <v>720000</v>
      </c>
      <c r="K382" s="234"/>
    </row>
    <row r="383" spans="1:13" ht="36.75" customHeight="1" x14ac:dyDescent="0.25">
      <c r="A383" s="225"/>
      <c r="B383" s="226" t="s">
        <v>20</v>
      </c>
      <c r="C383" s="227"/>
      <c r="D383" s="227"/>
      <c r="E383" s="227"/>
      <c r="F383" s="228"/>
      <c r="G383" s="69">
        <f>SUM(G382:G382)</f>
        <v>1000</v>
      </c>
      <c r="H383" s="8"/>
      <c r="I383" s="4"/>
      <c r="J383" s="69">
        <f>+SUBTOTAL(109,J382:J382)</f>
        <v>720000</v>
      </c>
      <c r="K383" s="235"/>
    </row>
    <row r="384" spans="1:13" ht="36.75" customHeight="1" x14ac:dyDescent="0.25">
      <c r="A384" s="59" t="str">
        <f>ROMAN(2,0)</f>
        <v>II</v>
      </c>
      <c r="B384" s="22" t="s">
        <v>56</v>
      </c>
      <c r="C384" s="59"/>
      <c r="D384" s="59"/>
      <c r="E384" s="59"/>
      <c r="F384" s="59"/>
      <c r="G384" s="69"/>
      <c r="H384" s="8"/>
      <c r="I384" s="8"/>
      <c r="J384" s="87"/>
      <c r="K384" s="97"/>
    </row>
    <row r="385" spans="1:13" ht="36.75" customHeight="1" x14ac:dyDescent="0.25">
      <c r="A385" s="42">
        <v>1</v>
      </c>
      <c r="B385" s="80" t="s">
        <v>58</v>
      </c>
      <c r="C385" s="42" t="s">
        <v>57</v>
      </c>
      <c r="D385" s="42"/>
      <c r="E385" s="59"/>
      <c r="F385" s="79">
        <v>16</v>
      </c>
      <c r="G385" s="79">
        <v>38</v>
      </c>
      <c r="H385" s="4">
        <v>7</v>
      </c>
      <c r="I385" s="23">
        <v>5000000</v>
      </c>
      <c r="J385" s="87"/>
      <c r="K385" s="231" t="s">
        <v>129</v>
      </c>
    </row>
    <row r="386" spans="1:13" ht="36.75" customHeight="1" x14ac:dyDescent="0.25">
      <c r="A386" s="42">
        <v>2</v>
      </c>
      <c r="B386" s="80" t="s">
        <v>73</v>
      </c>
      <c r="C386" s="42" t="s">
        <v>57</v>
      </c>
      <c r="D386" s="42"/>
      <c r="E386" s="59"/>
      <c r="F386" s="79">
        <v>1</v>
      </c>
      <c r="G386" s="79"/>
      <c r="H386" s="8"/>
      <c r="I386" s="23">
        <v>4500000</v>
      </c>
      <c r="J386" s="87"/>
      <c r="K386" s="232"/>
    </row>
    <row r="387" spans="1:13" ht="36.75" customHeight="1" x14ac:dyDescent="0.25">
      <c r="A387" s="211" t="s">
        <v>254</v>
      </c>
      <c r="B387" s="211"/>
      <c r="C387" s="211"/>
      <c r="D387" s="211"/>
      <c r="E387" s="211"/>
      <c r="F387" s="211"/>
      <c r="G387" s="211"/>
      <c r="H387" s="211"/>
      <c r="I387" s="211"/>
      <c r="J387" s="69">
        <f>SUBTOTAL(9,J333:J386)</f>
        <v>619222114</v>
      </c>
      <c r="K387" s="98"/>
      <c r="L387" s="85">
        <v>609962854.62962961</v>
      </c>
    </row>
    <row r="388" spans="1:13" ht="36.75" customHeight="1" x14ac:dyDescent="0.25">
      <c r="A388" s="211" t="s">
        <v>54</v>
      </c>
      <c r="B388" s="211"/>
      <c r="C388" s="211"/>
      <c r="D388" s="211"/>
      <c r="E388" s="211"/>
      <c r="F388" s="211"/>
      <c r="G388" s="211"/>
      <c r="H388" s="211"/>
      <c r="I388" s="211"/>
      <c r="J388" s="89">
        <f>ROUND(J387*8%,0)</f>
        <v>49537769</v>
      </c>
      <c r="K388" s="59"/>
      <c r="L388" s="85">
        <v>48797028.370370373</v>
      </c>
    </row>
    <row r="389" spans="1:13" ht="36.75" customHeight="1" x14ac:dyDescent="0.25">
      <c r="A389" s="226" t="s">
        <v>257</v>
      </c>
      <c r="B389" s="227"/>
      <c r="C389" s="227"/>
      <c r="D389" s="227"/>
      <c r="E389" s="227"/>
      <c r="F389" s="227"/>
      <c r="G389" s="227"/>
      <c r="H389" s="227"/>
      <c r="I389" s="228"/>
      <c r="J389" s="89">
        <v>10000000</v>
      </c>
      <c r="K389" s="59"/>
    </row>
    <row r="390" spans="1:13" ht="36.75" customHeight="1" x14ac:dyDescent="0.25">
      <c r="A390" s="211" t="s">
        <v>27</v>
      </c>
      <c r="B390" s="211"/>
      <c r="C390" s="211"/>
      <c r="D390" s="211"/>
      <c r="E390" s="211"/>
      <c r="F390" s="211"/>
      <c r="G390" s="211"/>
      <c r="H390" s="211"/>
      <c r="I390" s="211"/>
      <c r="J390" s="69">
        <f>SUM(J387:J388)-J389</f>
        <v>658759883</v>
      </c>
      <c r="K390" s="59"/>
      <c r="L390" s="85">
        <f>+L387+L388</f>
        <v>658759883</v>
      </c>
    </row>
    <row r="391" spans="1:13" ht="36.75" customHeight="1" x14ac:dyDescent="0.25">
      <c r="A391" s="99" t="s">
        <v>123</v>
      </c>
      <c r="B391" s="100" t="s">
        <v>258</v>
      </c>
      <c r="C391" s="40"/>
      <c r="D391" s="40"/>
      <c r="E391" s="40"/>
      <c r="F391" s="40"/>
      <c r="G391" s="40"/>
      <c r="H391" s="40"/>
      <c r="I391" s="40"/>
      <c r="J391" s="90"/>
      <c r="K391" s="40"/>
    </row>
    <row r="392" spans="1:13" ht="36.75" customHeight="1" x14ac:dyDescent="0.25">
      <c r="A392" s="5" t="s">
        <v>60</v>
      </c>
      <c r="B392" s="5"/>
      <c r="C392" s="30"/>
      <c r="D392" s="30"/>
      <c r="E392" s="30"/>
      <c r="F392" s="5"/>
      <c r="G392" s="5"/>
      <c r="H392" s="5"/>
      <c r="I392" s="5"/>
      <c r="J392" s="5"/>
      <c r="K392" s="102"/>
      <c r="M392" s="72"/>
    </row>
    <row r="393" spans="1:13" ht="15.75" x14ac:dyDescent="0.25">
      <c r="A393" s="197" t="s">
        <v>21</v>
      </c>
      <c r="B393" s="197"/>
      <c r="C393" s="197"/>
      <c r="D393" s="197"/>
      <c r="E393" s="197" t="s">
        <v>22</v>
      </c>
      <c r="F393" s="197"/>
      <c r="G393" s="197"/>
      <c r="H393" s="197"/>
      <c r="I393" s="197"/>
      <c r="J393" s="197"/>
      <c r="K393" s="197"/>
    </row>
    <row r="399" spans="1:13" ht="15.75" x14ac:dyDescent="0.25">
      <c r="A399" s="197" t="s">
        <v>1</v>
      </c>
      <c r="B399" s="197"/>
      <c r="C399" s="197"/>
      <c r="D399" s="197"/>
      <c r="E399" s="197"/>
      <c r="F399" s="197"/>
      <c r="G399" s="197"/>
      <c r="H399" s="197"/>
      <c r="I399" s="197"/>
      <c r="J399" s="197"/>
      <c r="K399" s="197"/>
    </row>
    <row r="400" spans="1:13" ht="15.75" x14ac:dyDescent="0.25">
      <c r="A400" s="197" t="s">
        <v>2</v>
      </c>
      <c r="B400" s="197"/>
      <c r="C400" s="197"/>
      <c r="D400" s="197"/>
      <c r="E400" s="197"/>
      <c r="F400" s="197"/>
      <c r="G400" s="197"/>
      <c r="H400" s="197"/>
      <c r="I400" s="197"/>
      <c r="J400" s="197"/>
      <c r="K400" s="197"/>
    </row>
    <row r="401" spans="1:11" x14ac:dyDescent="0.25">
      <c r="A401" s="18"/>
      <c r="B401" s="18"/>
      <c r="C401" s="18"/>
      <c r="D401" s="18"/>
      <c r="E401" s="18"/>
      <c r="F401" s="18"/>
      <c r="G401" s="18"/>
      <c r="H401" s="18"/>
      <c r="I401" s="18"/>
      <c r="J401" s="18"/>
      <c r="K401" s="18"/>
    </row>
    <row r="402" spans="1:11" ht="20.25" x14ac:dyDescent="0.25">
      <c r="A402" s="204" t="s">
        <v>29</v>
      </c>
      <c r="B402" s="204"/>
      <c r="C402" s="204"/>
      <c r="D402" s="204"/>
      <c r="E402" s="204"/>
      <c r="F402" s="204"/>
      <c r="G402" s="204"/>
      <c r="H402" s="204"/>
      <c r="I402" s="204"/>
      <c r="J402" s="204"/>
      <c r="K402" s="204"/>
    </row>
    <row r="403" spans="1:11" ht="15.75" x14ac:dyDescent="0.25">
      <c r="A403" s="197" t="s">
        <v>264</v>
      </c>
      <c r="B403" s="197"/>
      <c r="C403" s="197"/>
      <c r="D403" s="197"/>
      <c r="E403" s="197"/>
      <c r="F403" s="197"/>
      <c r="G403" s="197"/>
      <c r="H403" s="197"/>
      <c r="I403" s="197"/>
      <c r="J403" s="197"/>
      <c r="K403" s="197"/>
    </row>
    <row r="404" spans="1:11" ht="15.75" x14ac:dyDescent="0.25">
      <c r="A404" s="60"/>
      <c r="B404" s="60"/>
      <c r="C404" s="60"/>
      <c r="D404" s="60"/>
      <c r="E404" s="60"/>
      <c r="F404" s="60"/>
      <c r="G404" s="60"/>
      <c r="H404" s="60"/>
      <c r="I404" s="60"/>
      <c r="J404" s="60"/>
      <c r="K404" s="60"/>
    </row>
    <row r="405" spans="1:11" ht="34.5" customHeight="1" x14ac:dyDescent="0.25">
      <c r="A405" s="219" t="str">
        <f>ĐCCN!$A$7</f>
        <v>- Căn cứ Hợp đồng kinh tế số 0412/HĐKT2025/TP-VIETPANEL ký ngày 04/12/2025 giữa Công ty TNHH xây dựng Việt Panel và Công ty Cổ phần Tập đoàn Thiết bị xây dựng TP về việc cho thuê thiết bị xây dựng.</v>
      </c>
      <c r="B405" s="219"/>
      <c r="C405" s="219"/>
      <c r="D405" s="219"/>
      <c r="E405" s="219"/>
      <c r="F405" s="219"/>
      <c r="G405" s="219"/>
      <c r="H405" s="219"/>
      <c r="I405" s="219"/>
      <c r="J405" s="219"/>
      <c r="K405" s="219"/>
    </row>
    <row r="406" spans="1:11" ht="16.5" x14ac:dyDescent="0.25">
      <c r="A406" s="6" t="s">
        <v>51</v>
      </c>
      <c r="B406" s="5" t="s">
        <v>144</v>
      </c>
      <c r="C406" s="30"/>
      <c r="D406" s="30"/>
      <c r="E406" s="30"/>
      <c r="F406" s="5"/>
      <c r="G406" s="5"/>
      <c r="H406" s="5"/>
      <c r="I406" s="5"/>
      <c r="J406" s="5"/>
      <c r="K406" s="30"/>
    </row>
    <row r="407" spans="1:11" ht="16.5" x14ac:dyDescent="0.25">
      <c r="A407" s="6" t="s">
        <v>59</v>
      </c>
      <c r="B407" s="6" t="s">
        <v>145</v>
      </c>
      <c r="C407" s="30"/>
      <c r="D407" s="30"/>
      <c r="E407" s="30"/>
      <c r="F407" s="5"/>
      <c r="G407" s="5"/>
      <c r="H407" s="5"/>
      <c r="I407" s="5"/>
      <c r="J407" s="5"/>
      <c r="K407" s="30"/>
    </row>
    <row r="408" spans="1:11" ht="16.5" x14ac:dyDescent="0.25">
      <c r="A408" s="6" t="s">
        <v>266</v>
      </c>
      <c r="B408" s="5"/>
      <c r="C408" s="30"/>
      <c r="D408" s="30"/>
      <c r="E408" s="30"/>
      <c r="F408" s="5"/>
      <c r="G408" s="5"/>
      <c r="H408" s="5"/>
      <c r="I408" s="5"/>
      <c r="J408" s="5"/>
      <c r="K408" s="30"/>
    </row>
    <row r="409" spans="1:11" ht="16.5" x14ac:dyDescent="0.25">
      <c r="A409" s="5" t="s">
        <v>172</v>
      </c>
      <c r="B409" s="5"/>
      <c r="C409" s="30"/>
      <c r="D409" s="30"/>
      <c r="E409" s="30"/>
      <c r="F409" s="5"/>
      <c r="G409" s="5"/>
      <c r="H409" s="5"/>
      <c r="I409" s="5"/>
      <c r="J409" s="5"/>
      <c r="K409" s="30"/>
    </row>
    <row r="410" spans="1:11" ht="16.5" x14ac:dyDescent="0.25">
      <c r="A410" s="7" t="str">
        <f>$A$12</f>
        <v>BÊN THUÊ (BÊN A): CÔNG TY TNHH XÂY DỰNG VIỆT PANEL</v>
      </c>
      <c r="B410" s="7"/>
      <c r="C410" s="40"/>
      <c r="D410" s="40"/>
      <c r="E410" s="40"/>
      <c r="F410" s="7"/>
      <c r="G410" s="7"/>
      <c r="H410" s="7"/>
      <c r="I410" s="7"/>
      <c r="J410" s="7"/>
      <c r="K410" s="40"/>
    </row>
    <row r="411" spans="1:11" ht="16.5" x14ac:dyDescent="0.25">
      <c r="A411" s="5" t="s">
        <v>125</v>
      </c>
      <c r="B411" s="5" t="str">
        <f>ĐCCN!$C$9</f>
        <v>Thôn Đông Phù, Xã Tiên Du, Tỉnh Bắc Ninh, Việt Nam</v>
      </c>
      <c r="C411" s="30"/>
      <c r="D411" s="30"/>
      <c r="E411" s="30"/>
      <c r="F411" s="5"/>
      <c r="G411" s="5"/>
      <c r="H411" s="5"/>
      <c r="I411" s="5"/>
      <c r="J411" s="5"/>
      <c r="K411" s="30"/>
    </row>
    <row r="412" spans="1:11" ht="16.5" x14ac:dyDescent="0.25">
      <c r="A412" s="5" t="s">
        <v>5</v>
      </c>
      <c r="B412" s="5"/>
      <c r="C412" s="198" t="str">
        <f>ĐCCN!$C$10</f>
        <v>0222 6535 699</v>
      </c>
      <c r="D412" s="208"/>
      <c r="E412" s="5"/>
      <c r="F412" s="5"/>
      <c r="G412" s="5"/>
      <c r="H412" s="5"/>
      <c r="I412" s="5"/>
      <c r="J412" s="5"/>
      <c r="K412" s="30"/>
    </row>
    <row r="413" spans="1:11" ht="16.5" x14ac:dyDescent="0.25">
      <c r="A413" s="5" t="s">
        <v>4</v>
      </c>
      <c r="B413" s="5"/>
      <c r="C413" s="209">
        <f>ĐCCN!$C$11</f>
        <v>616139999</v>
      </c>
      <c r="D413" s="209"/>
      <c r="E413" s="41" t="str">
        <f>ĐCCN!$E$11</f>
        <v>Tại MB Ngân hàng quân đội</v>
      </c>
      <c r="F413" s="5"/>
      <c r="G413" s="5"/>
      <c r="H413" s="5"/>
      <c r="I413" s="5"/>
      <c r="J413" s="5"/>
      <c r="K413" s="30"/>
    </row>
    <row r="414" spans="1:11" ht="16.5" x14ac:dyDescent="0.25">
      <c r="A414" s="5" t="s">
        <v>6</v>
      </c>
      <c r="B414" s="6"/>
      <c r="C414" s="198" t="str">
        <f>ĐCCN!$C$12</f>
        <v>2300856941</v>
      </c>
      <c r="D414" s="198"/>
      <c r="E414" s="6"/>
      <c r="F414" s="6"/>
      <c r="G414" s="5"/>
      <c r="H414" s="5"/>
      <c r="I414" s="5"/>
      <c r="J414" s="5"/>
      <c r="K414" s="30"/>
    </row>
    <row r="415" spans="1:11" ht="16.5" x14ac:dyDescent="0.25">
      <c r="A415" s="5" t="s">
        <v>7</v>
      </c>
      <c r="B415" s="5"/>
      <c r="C415" s="7" t="str">
        <f>ĐCCN!$C$13</f>
        <v>Ông Lưu Đình Cải</v>
      </c>
      <c r="D415" s="40"/>
      <c r="E415" s="5" t="str">
        <f>ĐCCN!$E$13</f>
        <v>Chức vụ: Giám đốc</v>
      </c>
      <c r="F415" s="5"/>
      <c r="G415" s="5"/>
      <c r="H415" s="5"/>
      <c r="I415" s="5"/>
      <c r="J415" s="5"/>
      <c r="K415" s="30"/>
    </row>
    <row r="416" spans="1:11" ht="16.5" x14ac:dyDescent="0.25">
      <c r="A416" s="5"/>
      <c r="B416" s="5"/>
      <c r="C416" s="30"/>
      <c r="D416" s="30"/>
      <c r="E416" s="30"/>
      <c r="F416" s="5"/>
      <c r="G416" s="5"/>
      <c r="H416" s="5"/>
      <c r="I416" s="5"/>
      <c r="J416" s="5"/>
      <c r="K416" s="30"/>
    </row>
    <row r="417" spans="1:14" ht="16.5" x14ac:dyDescent="0.25">
      <c r="A417" s="7" t="s">
        <v>8</v>
      </c>
      <c r="B417" s="7"/>
      <c r="C417" s="40"/>
      <c r="D417" s="40"/>
      <c r="E417" s="40"/>
      <c r="F417" s="7"/>
      <c r="G417" s="7"/>
      <c r="H417" s="7"/>
      <c r="I417" s="7"/>
      <c r="J417" s="7"/>
      <c r="K417" s="40"/>
    </row>
    <row r="418" spans="1:14" ht="16.5" x14ac:dyDescent="0.25">
      <c r="A418" s="5" t="s">
        <v>115</v>
      </c>
      <c r="B418" s="5"/>
      <c r="C418" s="30"/>
      <c r="D418" s="30"/>
      <c r="E418" s="30"/>
      <c r="F418" s="5"/>
      <c r="G418" s="5"/>
      <c r="H418" s="5"/>
      <c r="I418" s="5"/>
      <c r="J418" s="5"/>
      <c r="K418" s="30"/>
    </row>
    <row r="419" spans="1:14" ht="16.5" x14ac:dyDescent="0.25">
      <c r="A419" s="5" t="s">
        <v>5</v>
      </c>
      <c r="B419" s="5"/>
      <c r="C419" s="6" t="s">
        <v>9</v>
      </c>
      <c r="D419" s="24"/>
      <c r="E419" s="30"/>
      <c r="F419" s="5"/>
      <c r="G419" s="5"/>
      <c r="H419" s="5"/>
      <c r="I419" s="5"/>
      <c r="J419" s="5"/>
      <c r="K419" s="30"/>
    </row>
    <row r="420" spans="1:14" ht="16.5" x14ac:dyDescent="0.25">
      <c r="A420" s="5" t="s">
        <v>10</v>
      </c>
      <c r="B420" s="5"/>
      <c r="C420" s="32" t="str">
        <f>$C$22</f>
        <v>8331100096008</v>
      </c>
      <c r="D420" s="17"/>
      <c r="E420" s="201" t="str">
        <f>$E$22</f>
        <v>Tại Ngân hàng Thương mại cổ phần Quân đội - Chi nhánh Hoàng Quốc Việt</v>
      </c>
      <c r="F420" s="201"/>
      <c r="G420" s="201"/>
      <c r="H420" s="201"/>
      <c r="I420" s="201"/>
      <c r="J420" s="201"/>
      <c r="K420" s="201"/>
    </row>
    <row r="421" spans="1:14" ht="16.5" x14ac:dyDescent="0.25">
      <c r="A421" s="5" t="s">
        <v>6</v>
      </c>
      <c r="B421" s="5"/>
      <c r="C421" s="6" t="s">
        <v>19</v>
      </c>
      <c r="D421" s="24"/>
      <c r="E421" s="41"/>
      <c r="F421" s="5"/>
      <c r="G421" s="5"/>
      <c r="H421" s="5"/>
      <c r="I421" s="5"/>
      <c r="J421" s="5"/>
      <c r="K421" s="30"/>
    </row>
    <row r="422" spans="1:14" ht="16.5" x14ac:dyDescent="0.25">
      <c r="A422" s="5" t="s">
        <v>7</v>
      </c>
      <c r="B422" s="5"/>
      <c r="C422" s="7" t="s">
        <v>116</v>
      </c>
      <c r="D422" s="40"/>
      <c r="E422" s="41" t="s">
        <v>117</v>
      </c>
      <c r="F422" s="5"/>
      <c r="G422" s="5"/>
      <c r="H422" s="5"/>
      <c r="I422" s="5"/>
      <c r="J422" s="5"/>
      <c r="K422" s="30"/>
    </row>
    <row r="423" spans="1:14" ht="16.5" x14ac:dyDescent="0.25">
      <c r="A423" s="5"/>
      <c r="B423" s="5"/>
      <c r="C423" s="30"/>
      <c r="D423" s="30"/>
      <c r="E423" s="30"/>
      <c r="F423" s="5"/>
      <c r="G423" s="5"/>
      <c r="H423" s="5"/>
      <c r="I423" s="5"/>
      <c r="J423" s="5"/>
      <c r="K423" s="30"/>
    </row>
    <row r="424" spans="1:14" ht="16.5" x14ac:dyDescent="0.25">
      <c r="A424" s="5" t="s">
        <v>267</v>
      </c>
      <c r="B424" s="5"/>
      <c r="C424" s="30"/>
      <c r="D424" s="30"/>
      <c r="E424" s="30"/>
      <c r="F424" s="5"/>
      <c r="G424" s="5"/>
      <c r="H424" s="5"/>
      <c r="I424" s="5"/>
      <c r="J424" s="5"/>
      <c r="K424" s="30"/>
    </row>
    <row r="426" spans="1:14" ht="66" x14ac:dyDescent="0.25">
      <c r="A426" s="3" t="s">
        <v>12</v>
      </c>
      <c r="B426" s="3" t="s">
        <v>13</v>
      </c>
      <c r="C426" s="3" t="s">
        <v>23</v>
      </c>
      <c r="D426" s="3" t="s">
        <v>61</v>
      </c>
      <c r="E426" s="3" t="s">
        <v>14</v>
      </c>
      <c r="F426" s="3" t="s">
        <v>15</v>
      </c>
      <c r="G426" s="3" t="s">
        <v>16</v>
      </c>
      <c r="H426" s="3" t="s">
        <v>17</v>
      </c>
      <c r="I426" s="3" t="s">
        <v>26</v>
      </c>
      <c r="J426" s="59" t="s">
        <v>25</v>
      </c>
      <c r="K426" s="59" t="s">
        <v>18</v>
      </c>
      <c r="L426" s="85">
        <f>+G429+G433+G439+G441+G443+G445+G448+G450+G452+G454</f>
        <v>487292</v>
      </c>
      <c r="M426" s="1">
        <v>487346</v>
      </c>
      <c r="N426" s="72">
        <f>+M426-L426</f>
        <v>54</v>
      </c>
    </row>
    <row r="427" spans="1:14" ht="16.5" x14ac:dyDescent="0.25">
      <c r="A427" s="3" t="str">
        <f>ROMAN(1,0)</f>
        <v>I</v>
      </c>
      <c r="B427" s="21" t="s">
        <v>55</v>
      </c>
      <c r="C427" s="3"/>
      <c r="D427" s="3"/>
      <c r="E427" s="3"/>
      <c r="F427" s="3"/>
      <c r="G427" s="3"/>
      <c r="H427" s="3"/>
      <c r="I427" s="3"/>
      <c r="J427" s="69">
        <f>SUBTOTAL(9,J428:J454)</f>
        <v>1188970376</v>
      </c>
      <c r="K427" s="42"/>
      <c r="N427" s="1">
        <f>22+32</f>
        <v>54</v>
      </c>
    </row>
    <row r="428" spans="1:14" ht="17.25" customHeight="1" x14ac:dyDescent="0.25">
      <c r="A428" s="229">
        <v>1</v>
      </c>
      <c r="B428" s="77" t="s">
        <v>148</v>
      </c>
      <c r="C428" s="42" t="s">
        <v>49</v>
      </c>
      <c r="D428" s="44">
        <v>46079</v>
      </c>
      <c r="E428" s="44">
        <v>46106</v>
      </c>
      <c r="F428" s="78">
        <v>21400</v>
      </c>
      <c r="G428" s="68">
        <f>+F428</f>
        <v>21400</v>
      </c>
      <c r="H428" s="4">
        <f>E428-D428+1</f>
        <v>28</v>
      </c>
      <c r="I428" s="4">
        <v>85</v>
      </c>
      <c r="J428" s="94">
        <f>+I428*H428*G428</f>
        <v>50932000</v>
      </c>
      <c r="K428" s="42"/>
    </row>
    <row r="429" spans="1:14" ht="16.5" x14ac:dyDescent="0.25">
      <c r="A429" s="229"/>
      <c r="B429" s="226" t="s">
        <v>20</v>
      </c>
      <c r="C429" s="227"/>
      <c r="D429" s="227"/>
      <c r="E429" s="227"/>
      <c r="F429" s="228"/>
      <c r="G429" s="69">
        <f>SUM(G428:G428)</f>
        <v>21400</v>
      </c>
      <c r="H429" s="4"/>
      <c r="I429" s="4"/>
      <c r="J429" s="69">
        <f>+SUBTOTAL(109,J428:J428)</f>
        <v>50932000</v>
      </c>
      <c r="K429" s="42"/>
    </row>
    <row r="430" spans="1:14" ht="17.25" x14ac:dyDescent="0.25">
      <c r="A430" s="224">
        <v>2</v>
      </c>
      <c r="B430" s="77" t="s">
        <v>122</v>
      </c>
      <c r="C430" s="42" t="s">
        <v>49</v>
      </c>
      <c r="D430" s="44">
        <v>46079</v>
      </c>
      <c r="E430" s="44">
        <v>46106</v>
      </c>
      <c r="F430" s="78">
        <v>32300</v>
      </c>
      <c r="G430" s="68">
        <f>+F430</f>
        <v>32300</v>
      </c>
      <c r="H430" s="4">
        <f t="shared" ref="H430:H453" si="99">E430-D430+1</f>
        <v>28</v>
      </c>
      <c r="I430" s="4">
        <v>125</v>
      </c>
      <c r="J430" s="94">
        <f t="shared" ref="J430" si="100">+I430*H430*G430</f>
        <v>113050000</v>
      </c>
      <c r="K430" s="42"/>
    </row>
    <row r="431" spans="1:14" ht="17.25" x14ac:dyDescent="0.25">
      <c r="A431" s="230"/>
      <c r="B431" s="77" t="s">
        <v>122</v>
      </c>
      <c r="C431" s="42" t="s">
        <v>49</v>
      </c>
      <c r="D431" s="44">
        <v>46081</v>
      </c>
      <c r="E431" s="44">
        <v>46106</v>
      </c>
      <c r="F431" s="81"/>
      <c r="G431" s="68">
        <v>400</v>
      </c>
      <c r="H431" s="4">
        <f t="shared" si="99"/>
        <v>26</v>
      </c>
      <c r="I431" s="4">
        <v>125</v>
      </c>
      <c r="J431" s="94">
        <f t="shared" ref="J431:J432" si="101">+I431*H431*G431</f>
        <v>1300000</v>
      </c>
      <c r="K431" s="42"/>
    </row>
    <row r="432" spans="1:14" ht="17.25" x14ac:dyDescent="0.25">
      <c r="A432" s="230"/>
      <c r="B432" s="77" t="s">
        <v>122</v>
      </c>
      <c r="C432" s="42" t="s">
        <v>49</v>
      </c>
      <c r="D432" s="44">
        <v>46082</v>
      </c>
      <c r="E432" s="44">
        <v>46106</v>
      </c>
      <c r="F432" s="81"/>
      <c r="G432" s="68">
        <v>1800</v>
      </c>
      <c r="H432" s="4">
        <f t="shared" si="99"/>
        <v>25</v>
      </c>
      <c r="I432" s="4">
        <v>125</v>
      </c>
      <c r="J432" s="94">
        <f t="shared" si="101"/>
        <v>5625000</v>
      </c>
      <c r="K432" s="42"/>
    </row>
    <row r="433" spans="1:11" ht="16.5" x14ac:dyDescent="0.25">
      <c r="A433" s="225"/>
      <c r="B433" s="226" t="s">
        <v>20</v>
      </c>
      <c r="C433" s="227"/>
      <c r="D433" s="227"/>
      <c r="E433" s="227"/>
      <c r="F433" s="228"/>
      <c r="G433" s="69">
        <f>SUM(G430:G432)</f>
        <v>34500</v>
      </c>
      <c r="H433" s="4"/>
      <c r="I433" s="4"/>
      <c r="J433" s="69">
        <f>+SUBTOTAL(109,J430:J432)</f>
        <v>119975000</v>
      </c>
      <c r="K433" s="42"/>
    </row>
    <row r="434" spans="1:11" ht="17.25" x14ac:dyDescent="0.25">
      <c r="A434" s="224">
        <v>3</v>
      </c>
      <c r="B434" s="77" t="s">
        <v>118</v>
      </c>
      <c r="C434" s="42" t="s">
        <v>49</v>
      </c>
      <c r="D434" s="44">
        <v>46079</v>
      </c>
      <c r="E434" s="44">
        <v>46106</v>
      </c>
      <c r="F434" s="78">
        <v>6300</v>
      </c>
      <c r="G434" s="68">
        <f>+F434</f>
        <v>6300</v>
      </c>
      <c r="H434" s="4">
        <f t="shared" si="99"/>
        <v>28</v>
      </c>
      <c r="I434" s="4">
        <v>159</v>
      </c>
      <c r="J434" s="94">
        <f>+I434*H434*G434</f>
        <v>28047600</v>
      </c>
      <c r="K434" s="42"/>
    </row>
    <row r="435" spans="1:11" ht="17.25" x14ac:dyDescent="0.25">
      <c r="A435" s="230"/>
      <c r="B435" s="77" t="s">
        <v>118</v>
      </c>
      <c r="C435" s="42" t="s">
        <v>49</v>
      </c>
      <c r="D435" s="44">
        <v>46081</v>
      </c>
      <c r="E435" s="44">
        <v>46106</v>
      </c>
      <c r="F435" s="81"/>
      <c r="G435" s="68">
        <v>1900</v>
      </c>
      <c r="H435" s="4">
        <f t="shared" ref="H435:H438" si="102">E435-D435+1</f>
        <v>26</v>
      </c>
      <c r="I435" s="4">
        <v>159</v>
      </c>
      <c r="J435" s="94">
        <f t="shared" ref="J435:J438" si="103">+I435*H435*G435</f>
        <v>7854600</v>
      </c>
      <c r="K435" s="42"/>
    </row>
    <row r="436" spans="1:11" ht="17.25" x14ac:dyDescent="0.25">
      <c r="A436" s="230"/>
      <c r="B436" s="77" t="s">
        <v>118</v>
      </c>
      <c r="C436" s="42" t="s">
        <v>49</v>
      </c>
      <c r="D436" s="44">
        <v>46081</v>
      </c>
      <c r="E436" s="44">
        <v>46106</v>
      </c>
      <c r="F436" s="81"/>
      <c r="G436" s="68">
        <v>2600</v>
      </c>
      <c r="H436" s="4">
        <f t="shared" si="102"/>
        <v>26</v>
      </c>
      <c r="I436" s="4">
        <v>159</v>
      </c>
      <c r="J436" s="94">
        <f t="shared" si="103"/>
        <v>10748400</v>
      </c>
      <c r="K436" s="42"/>
    </row>
    <row r="437" spans="1:11" ht="17.25" x14ac:dyDescent="0.25">
      <c r="A437" s="230"/>
      <c r="B437" s="77" t="s">
        <v>118</v>
      </c>
      <c r="C437" s="42" t="s">
        <v>49</v>
      </c>
      <c r="D437" s="44">
        <v>46081</v>
      </c>
      <c r="E437" s="44">
        <v>46106</v>
      </c>
      <c r="F437" s="81"/>
      <c r="G437" s="68">
        <v>2600</v>
      </c>
      <c r="H437" s="4">
        <f t="shared" si="102"/>
        <v>26</v>
      </c>
      <c r="I437" s="4">
        <v>159</v>
      </c>
      <c r="J437" s="94">
        <f t="shared" si="103"/>
        <v>10748400</v>
      </c>
      <c r="K437" s="42"/>
    </row>
    <row r="438" spans="1:11" ht="17.25" x14ac:dyDescent="0.25">
      <c r="A438" s="230"/>
      <c r="B438" s="77" t="s">
        <v>118</v>
      </c>
      <c r="C438" s="42" t="s">
        <v>49</v>
      </c>
      <c r="D438" s="44">
        <v>46082</v>
      </c>
      <c r="E438" s="44">
        <v>46106</v>
      </c>
      <c r="F438" s="81"/>
      <c r="G438" s="68">
        <v>1400</v>
      </c>
      <c r="H438" s="4">
        <f t="shared" si="102"/>
        <v>25</v>
      </c>
      <c r="I438" s="4">
        <v>159</v>
      </c>
      <c r="J438" s="94">
        <f t="shared" si="103"/>
        <v>5565000</v>
      </c>
      <c r="K438" s="42"/>
    </row>
    <row r="439" spans="1:11" ht="16.5" x14ac:dyDescent="0.25">
      <c r="A439" s="225"/>
      <c r="B439" s="226" t="s">
        <v>20</v>
      </c>
      <c r="C439" s="227"/>
      <c r="D439" s="227"/>
      <c r="E439" s="227"/>
      <c r="F439" s="228"/>
      <c r="G439" s="69">
        <f>SUM(G434:G438)</f>
        <v>14800</v>
      </c>
      <c r="H439" s="4"/>
      <c r="I439" s="4"/>
      <c r="J439" s="69">
        <f>+SUBTOTAL(109,J434:J438)</f>
        <v>62964000</v>
      </c>
      <c r="K439" s="42"/>
    </row>
    <row r="440" spans="1:11" ht="17.25" x14ac:dyDescent="0.25">
      <c r="A440" s="224">
        <v>4</v>
      </c>
      <c r="B440" s="77" t="s">
        <v>50</v>
      </c>
      <c r="C440" s="42" t="s">
        <v>49</v>
      </c>
      <c r="D440" s="44">
        <v>46079</v>
      </c>
      <c r="E440" s="44">
        <v>46106</v>
      </c>
      <c r="F440" s="78">
        <v>52747</v>
      </c>
      <c r="G440" s="68">
        <f>+F440</f>
        <v>52747</v>
      </c>
      <c r="H440" s="4">
        <f t="shared" si="99"/>
        <v>28</v>
      </c>
      <c r="I440" s="4">
        <v>185</v>
      </c>
      <c r="J440" s="94">
        <f>+I440*H440*G440</f>
        <v>273229460</v>
      </c>
      <c r="K440" s="42"/>
    </row>
    <row r="441" spans="1:11" ht="16.5" x14ac:dyDescent="0.25">
      <c r="A441" s="225"/>
      <c r="B441" s="211" t="s">
        <v>20</v>
      </c>
      <c r="C441" s="211"/>
      <c r="D441" s="211"/>
      <c r="E441" s="211"/>
      <c r="F441" s="211"/>
      <c r="G441" s="69">
        <f>SUM(G440:G440)</f>
        <v>52747</v>
      </c>
      <c r="H441" s="4"/>
      <c r="I441" s="4"/>
      <c r="J441" s="69">
        <f>+SUBTOTAL(109,J440:J440)</f>
        <v>273229460</v>
      </c>
      <c r="K441" s="42"/>
    </row>
    <row r="442" spans="1:11" ht="17.25" x14ac:dyDescent="0.25">
      <c r="A442" s="224">
        <v>5</v>
      </c>
      <c r="B442" s="77" t="s">
        <v>126</v>
      </c>
      <c r="C442" s="42" t="s">
        <v>24</v>
      </c>
      <c r="D442" s="44">
        <v>46079</v>
      </c>
      <c r="E442" s="44">
        <v>46106</v>
      </c>
      <c r="F442" s="78">
        <v>35500</v>
      </c>
      <c r="G442" s="68">
        <f>+F442</f>
        <v>35500</v>
      </c>
      <c r="H442" s="4">
        <f t="shared" si="99"/>
        <v>28</v>
      </c>
      <c r="I442" s="4">
        <v>43</v>
      </c>
      <c r="J442" s="94">
        <f>+I442*H442*G442</f>
        <v>42742000</v>
      </c>
      <c r="K442" s="42"/>
    </row>
    <row r="443" spans="1:11" ht="16.5" x14ac:dyDescent="0.25">
      <c r="A443" s="225"/>
      <c r="B443" s="226" t="s">
        <v>20</v>
      </c>
      <c r="C443" s="227"/>
      <c r="D443" s="227"/>
      <c r="E443" s="227"/>
      <c r="F443" s="228"/>
      <c r="G443" s="69">
        <f>SUM(G442:G442)</f>
        <v>35500</v>
      </c>
      <c r="H443" s="4"/>
      <c r="I443" s="4"/>
      <c r="J443" s="69">
        <f>+SUBTOTAL(109,J442:J442)</f>
        <v>42742000</v>
      </c>
      <c r="K443" s="42"/>
    </row>
    <row r="444" spans="1:11" ht="17.25" x14ac:dyDescent="0.25">
      <c r="A444" s="224">
        <v>6</v>
      </c>
      <c r="B444" s="77" t="s">
        <v>149</v>
      </c>
      <c r="C444" s="42" t="s">
        <v>24</v>
      </c>
      <c r="D444" s="44">
        <v>46079</v>
      </c>
      <c r="E444" s="44">
        <v>46106</v>
      </c>
      <c r="F444" s="78">
        <v>23840</v>
      </c>
      <c r="G444" s="68">
        <f>+F444</f>
        <v>23840</v>
      </c>
      <c r="H444" s="4">
        <f t="shared" si="99"/>
        <v>28</v>
      </c>
      <c r="I444" s="4">
        <v>55</v>
      </c>
      <c r="J444" s="94">
        <f>+I444*H444*G444</f>
        <v>36713600</v>
      </c>
      <c r="K444" s="42"/>
    </row>
    <row r="445" spans="1:11" ht="16.5" x14ac:dyDescent="0.25">
      <c r="A445" s="225"/>
      <c r="B445" s="226" t="s">
        <v>20</v>
      </c>
      <c r="C445" s="227"/>
      <c r="D445" s="227"/>
      <c r="E445" s="227"/>
      <c r="F445" s="228"/>
      <c r="G445" s="69">
        <f>SUM(G444:G444)</f>
        <v>23840</v>
      </c>
      <c r="H445" s="4"/>
      <c r="I445" s="4"/>
      <c r="J445" s="69">
        <f>+SUBTOTAL(109,J444:J444)</f>
        <v>36713600</v>
      </c>
      <c r="K445" s="42"/>
    </row>
    <row r="446" spans="1:11" ht="17.25" x14ac:dyDescent="0.25">
      <c r="A446" s="224">
        <v>7</v>
      </c>
      <c r="B446" s="77" t="s">
        <v>0</v>
      </c>
      <c r="C446" s="42" t="s">
        <v>24</v>
      </c>
      <c r="D446" s="44">
        <v>46079</v>
      </c>
      <c r="E446" s="44">
        <v>46106</v>
      </c>
      <c r="F446" s="78">
        <v>235733</v>
      </c>
      <c r="G446" s="68">
        <f>+F446</f>
        <v>235733</v>
      </c>
      <c r="H446" s="4">
        <f t="shared" si="99"/>
        <v>28</v>
      </c>
      <c r="I446" s="4">
        <v>71</v>
      </c>
      <c r="J446" s="94">
        <f t="shared" ref="J446:J447" si="104">+I446*H446*G446</f>
        <v>468637204</v>
      </c>
      <c r="K446" s="42"/>
    </row>
    <row r="447" spans="1:11" ht="17.25" x14ac:dyDescent="0.25">
      <c r="A447" s="230"/>
      <c r="B447" s="77" t="s">
        <v>0</v>
      </c>
      <c r="C447" s="42" t="s">
        <v>24</v>
      </c>
      <c r="D447" s="44">
        <v>46081</v>
      </c>
      <c r="E447" s="44">
        <v>46106</v>
      </c>
      <c r="F447" s="78"/>
      <c r="G447" s="68">
        <v>2772</v>
      </c>
      <c r="H447" s="4">
        <f t="shared" si="99"/>
        <v>26</v>
      </c>
      <c r="I447" s="4">
        <v>71</v>
      </c>
      <c r="J447" s="94">
        <f t="shared" si="104"/>
        <v>5117112</v>
      </c>
      <c r="K447" s="42"/>
    </row>
    <row r="448" spans="1:11" ht="16.5" x14ac:dyDescent="0.25">
      <c r="A448" s="225"/>
      <c r="B448" s="226" t="s">
        <v>20</v>
      </c>
      <c r="C448" s="227"/>
      <c r="D448" s="227"/>
      <c r="E448" s="227"/>
      <c r="F448" s="228"/>
      <c r="G448" s="69">
        <f>SUM(G446:G447)</f>
        <v>238505</v>
      </c>
      <c r="H448" s="4"/>
      <c r="I448" s="4"/>
      <c r="J448" s="69">
        <f>+SUBTOTAL(109,J446:J447)</f>
        <v>473754316</v>
      </c>
      <c r="K448" s="42"/>
    </row>
    <row r="449" spans="1:11" ht="16.5" x14ac:dyDescent="0.25">
      <c r="A449" s="224">
        <v>8</v>
      </c>
      <c r="B449" s="77" t="s">
        <v>150</v>
      </c>
      <c r="C449" s="42" t="s">
        <v>24</v>
      </c>
      <c r="D449" s="44">
        <v>46079</v>
      </c>
      <c r="E449" s="44">
        <v>46106</v>
      </c>
      <c r="F449" s="69">
        <v>33150</v>
      </c>
      <c r="G449" s="70">
        <f>+F449</f>
        <v>33150</v>
      </c>
      <c r="H449" s="4">
        <f t="shared" si="99"/>
        <v>28</v>
      </c>
      <c r="I449" s="67">
        <v>70</v>
      </c>
      <c r="J449" s="94">
        <f>+I449*H449*G449</f>
        <v>64974000</v>
      </c>
      <c r="K449" s="42"/>
    </row>
    <row r="450" spans="1:11" ht="16.5" x14ac:dyDescent="0.25">
      <c r="A450" s="225"/>
      <c r="B450" s="226" t="s">
        <v>20</v>
      </c>
      <c r="C450" s="227"/>
      <c r="D450" s="227"/>
      <c r="E450" s="227"/>
      <c r="F450" s="228"/>
      <c r="G450" s="69">
        <f>SUM(G449:G449)</f>
        <v>33150</v>
      </c>
      <c r="H450" s="4"/>
      <c r="I450" s="4"/>
      <c r="J450" s="69">
        <f>+SUBTOTAL(109,J449:J449)</f>
        <v>64974000</v>
      </c>
      <c r="K450" s="42"/>
    </row>
    <row r="451" spans="1:11" ht="17.25" x14ac:dyDescent="0.25">
      <c r="A451" s="224">
        <v>9</v>
      </c>
      <c r="B451" s="77" t="s">
        <v>151</v>
      </c>
      <c r="C451" s="42" t="s">
        <v>24</v>
      </c>
      <c r="D451" s="44">
        <v>46079</v>
      </c>
      <c r="E451" s="44">
        <v>46106</v>
      </c>
      <c r="F451" s="78">
        <v>31850</v>
      </c>
      <c r="G451" s="68">
        <f>+F451</f>
        <v>31850</v>
      </c>
      <c r="H451" s="4">
        <f t="shared" si="99"/>
        <v>28</v>
      </c>
      <c r="I451" s="4">
        <v>70</v>
      </c>
      <c r="J451" s="94">
        <f>+I451*H451*G451</f>
        <v>62426000</v>
      </c>
      <c r="K451" s="42"/>
    </row>
    <row r="452" spans="1:11" ht="16.5" x14ac:dyDescent="0.25">
      <c r="A452" s="225"/>
      <c r="B452" s="226" t="s">
        <v>20</v>
      </c>
      <c r="C452" s="227"/>
      <c r="D452" s="227"/>
      <c r="E452" s="227"/>
      <c r="F452" s="228"/>
      <c r="G452" s="69">
        <f>SUM(G451:G451)</f>
        <v>31850</v>
      </c>
      <c r="H452" s="4"/>
      <c r="I452" s="4"/>
      <c r="J452" s="69">
        <f>+SUBTOTAL(109,J451:J451)</f>
        <v>62426000</v>
      </c>
      <c r="K452" s="42"/>
    </row>
    <row r="453" spans="1:11" ht="17.25" x14ac:dyDescent="0.25">
      <c r="A453" s="224">
        <v>10</v>
      </c>
      <c r="B453" s="77" t="s">
        <v>171</v>
      </c>
      <c r="C453" s="42" t="s">
        <v>24</v>
      </c>
      <c r="D453" s="44">
        <v>46079</v>
      </c>
      <c r="E453" s="44">
        <v>46106</v>
      </c>
      <c r="F453" s="78">
        <v>1000</v>
      </c>
      <c r="G453" s="68">
        <f>+F453</f>
        <v>1000</v>
      </c>
      <c r="H453" s="4">
        <f t="shared" si="99"/>
        <v>28</v>
      </c>
      <c r="I453" s="4">
        <v>45</v>
      </c>
      <c r="J453" s="94">
        <f>+I453*H453*G453</f>
        <v>1260000</v>
      </c>
      <c r="K453" s="42"/>
    </row>
    <row r="454" spans="1:11" ht="16.5" x14ac:dyDescent="0.25">
      <c r="A454" s="225"/>
      <c r="B454" s="226" t="s">
        <v>20</v>
      </c>
      <c r="C454" s="227"/>
      <c r="D454" s="227"/>
      <c r="E454" s="227"/>
      <c r="F454" s="228"/>
      <c r="G454" s="69">
        <f>SUM(G453:G453)</f>
        <v>1000</v>
      </c>
      <c r="H454" s="8"/>
      <c r="I454" s="4"/>
      <c r="J454" s="69">
        <f>+SUBTOTAL(109,J453:J453)</f>
        <v>1260000</v>
      </c>
      <c r="K454" s="42"/>
    </row>
    <row r="455" spans="1:11" ht="16.5" x14ac:dyDescent="0.25">
      <c r="A455" s="59" t="str">
        <f>ROMAN(2,0)</f>
        <v>II</v>
      </c>
      <c r="B455" s="22" t="s">
        <v>56</v>
      </c>
      <c r="C455" s="59"/>
      <c r="D455" s="59"/>
      <c r="E455" s="59"/>
      <c r="F455" s="59"/>
      <c r="G455" s="69"/>
      <c r="H455" s="8"/>
      <c r="I455" s="8"/>
      <c r="J455" s="87"/>
      <c r="K455" s="97"/>
    </row>
    <row r="456" spans="1:11" ht="16.5" x14ac:dyDescent="0.25">
      <c r="A456" s="42">
        <v>1</v>
      </c>
      <c r="B456" s="80" t="s">
        <v>58</v>
      </c>
      <c r="C456" s="42" t="s">
        <v>57</v>
      </c>
      <c r="D456" s="42"/>
      <c r="E456" s="59"/>
      <c r="F456" s="79">
        <v>61</v>
      </c>
      <c r="G456" s="79">
        <v>4</v>
      </c>
      <c r="H456" s="4"/>
      <c r="I456" s="23">
        <v>5000000</v>
      </c>
      <c r="J456" s="220" t="s">
        <v>129</v>
      </c>
      <c r="K456" s="221"/>
    </row>
    <row r="457" spans="1:11" ht="16.5" x14ac:dyDescent="0.25">
      <c r="A457" s="42">
        <v>2</v>
      </c>
      <c r="B457" s="80" t="s">
        <v>73</v>
      </c>
      <c r="C457" s="42" t="s">
        <v>57</v>
      </c>
      <c r="D457" s="42"/>
      <c r="E457" s="59"/>
      <c r="F457" s="79">
        <v>1</v>
      </c>
      <c r="G457" s="79"/>
      <c r="H457" s="8"/>
      <c r="I457" s="23">
        <v>4500000</v>
      </c>
      <c r="J457" s="222"/>
      <c r="K457" s="223"/>
    </row>
    <row r="458" spans="1:11" ht="16.5" x14ac:dyDescent="0.25">
      <c r="A458" s="211" t="s">
        <v>268</v>
      </c>
      <c r="B458" s="211"/>
      <c r="C458" s="211"/>
      <c r="D458" s="211"/>
      <c r="E458" s="211"/>
      <c r="F458" s="211"/>
      <c r="G458" s="211"/>
      <c r="H458" s="211"/>
      <c r="I458" s="211"/>
      <c r="J458" s="69">
        <f>SUBTOTAL(9,J428:J457)</f>
        <v>1188970376</v>
      </c>
      <c r="K458" s="98"/>
    </row>
    <row r="459" spans="1:11" ht="16.5" x14ac:dyDescent="0.25">
      <c r="A459" s="211" t="s">
        <v>54</v>
      </c>
      <c r="B459" s="211"/>
      <c r="C459" s="211"/>
      <c r="D459" s="211"/>
      <c r="E459" s="211"/>
      <c r="F459" s="211"/>
      <c r="G459" s="211"/>
      <c r="H459" s="211"/>
      <c r="I459" s="211"/>
      <c r="J459" s="89">
        <f>ROUND(J458*8%,0)</f>
        <v>95117630</v>
      </c>
      <c r="K459" s="59"/>
    </row>
    <row r="460" spans="1:11" ht="16.5" x14ac:dyDescent="0.25">
      <c r="A460" s="211" t="s">
        <v>27</v>
      </c>
      <c r="B460" s="211"/>
      <c r="C460" s="211"/>
      <c r="D460" s="211"/>
      <c r="E460" s="211"/>
      <c r="F460" s="211"/>
      <c r="G460" s="211"/>
      <c r="H460" s="211"/>
      <c r="I460" s="211"/>
      <c r="J460" s="69">
        <f>+J458+J459</f>
        <v>1284088006</v>
      </c>
      <c r="K460" s="59"/>
    </row>
    <row r="461" spans="1:11" ht="22.5" customHeight="1" x14ac:dyDescent="0.25">
      <c r="A461" s="99" t="s">
        <v>123</v>
      </c>
      <c r="B461" s="100" t="s">
        <v>270</v>
      </c>
      <c r="C461" s="40"/>
      <c r="D461" s="40"/>
      <c r="E461" s="40"/>
      <c r="F461" s="40"/>
      <c r="G461" s="40"/>
      <c r="H461" s="40"/>
      <c r="I461" s="40"/>
      <c r="J461" s="90"/>
      <c r="K461" s="40"/>
    </row>
    <row r="462" spans="1:11" ht="22.5" customHeight="1" x14ac:dyDescent="0.25">
      <c r="A462" s="5" t="s">
        <v>60</v>
      </c>
      <c r="B462" s="5"/>
      <c r="C462" s="30"/>
      <c r="D462" s="30"/>
      <c r="E462" s="30"/>
      <c r="F462" s="5"/>
      <c r="G462" s="5"/>
      <c r="H462" s="5"/>
      <c r="I462" s="5"/>
      <c r="J462" s="5"/>
      <c r="K462" s="102"/>
    </row>
    <row r="463" spans="1:11" ht="15.75" x14ac:dyDescent="0.25">
      <c r="A463" s="197" t="s">
        <v>21</v>
      </c>
      <c r="B463" s="197"/>
      <c r="C463" s="197"/>
      <c r="D463" s="197"/>
      <c r="E463" s="197" t="s">
        <v>22</v>
      </c>
      <c r="F463" s="197"/>
      <c r="G463" s="197"/>
      <c r="H463" s="197"/>
      <c r="I463" s="197"/>
      <c r="J463" s="197"/>
      <c r="K463" s="197"/>
    </row>
    <row r="468" spans="1:11" ht="15.75" x14ac:dyDescent="0.25">
      <c r="A468" s="197" t="s">
        <v>1</v>
      </c>
      <c r="B468" s="197"/>
      <c r="C468" s="197"/>
      <c r="D468" s="197"/>
      <c r="E468" s="197"/>
      <c r="F468" s="197"/>
      <c r="G468" s="197"/>
      <c r="H468" s="197"/>
      <c r="I468" s="197"/>
      <c r="J468" s="197"/>
      <c r="K468" s="197"/>
    </row>
    <row r="469" spans="1:11" ht="15.75" x14ac:dyDescent="0.25">
      <c r="A469" s="197" t="s">
        <v>2</v>
      </c>
      <c r="B469" s="197"/>
      <c r="C469" s="197"/>
      <c r="D469" s="197"/>
      <c r="E469" s="197"/>
      <c r="F469" s="197"/>
      <c r="G469" s="197"/>
      <c r="H469" s="197"/>
      <c r="I469" s="197"/>
      <c r="J469" s="197"/>
      <c r="K469" s="197"/>
    </row>
    <row r="470" spans="1:11" x14ac:dyDescent="0.25">
      <c r="A470" s="18"/>
      <c r="B470" s="18"/>
      <c r="C470" s="18"/>
      <c r="D470" s="18"/>
      <c r="E470" s="18"/>
      <c r="F470" s="18"/>
      <c r="G470" s="18"/>
      <c r="H470" s="18"/>
      <c r="I470" s="18"/>
      <c r="J470" s="18"/>
      <c r="K470" s="18"/>
    </row>
    <row r="471" spans="1:11" ht="20.25" x14ac:dyDescent="0.25">
      <c r="A471" s="204" t="s">
        <v>29</v>
      </c>
      <c r="B471" s="204"/>
      <c r="C471" s="204"/>
      <c r="D471" s="204"/>
      <c r="E471" s="204"/>
      <c r="F471" s="204"/>
      <c r="G471" s="204"/>
      <c r="H471" s="204"/>
      <c r="I471" s="204"/>
      <c r="J471" s="204"/>
      <c r="K471" s="204"/>
    </row>
    <row r="472" spans="1:11" ht="15.75" x14ac:dyDescent="0.25">
      <c r="A472" s="197" t="s">
        <v>272</v>
      </c>
      <c r="B472" s="197"/>
      <c r="C472" s="197"/>
      <c r="D472" s="197"/>
      <c r="E472" s="197"/>
      <c r="F472" s="197"/>
      <c r="G472" s="197"/>
      <c r="H472" s="197"/>
      <c r="I472" s="197"/>
      <c r="J472" s="197"/>
      <c r="K472" s="197"/>
    </row>
    <row r="473" spans="1:11" ht="15.75" x14ac:dyDescent="0.25">
      <c r="A473" s="60"/>
      <c r="B473" s="60"/>
      <c r="C473" s="60"/>
      <c r="D473" s="60"/>
      <c r="E473" s="60"/>
      <c r="F473" s="60"/>
      <c r="G473" s="60"/>
      <c r="H473" s="60"/>
      <c r="I473" s="60"/>
      <c r="J473" s="60"/>
      <c r="K473" s="60"/>
    </row>
    <row r="474" spans="1:11" ht="36" customHeight="1" x14ac:dyDescent="0.25">
      <c r="A474" s="219" t="str">
        <f>ĐCCN!$A$7</f>
        <v>- Căn cứ Hợp đồng kinh tế số 0412/HĐKT2025/TP-VIETPANEL ký ngày 04/12/2025 giữa Công ty TNHH xây dựng Việt Panel và Công ty Cổ phần Tập đoàn Thiết bị xây dựng TP về việc cho thuê thiết bị xây dựng.</v>
      </c>
      <c r="B474" s="219"/>
      <c r="C474" s="219"/>
      <c r="D474" s="219"/>
      <c r="E474" s="219"/>
      <c r="F474" s="219"/>
      <c r="G474" s="219"/>
      <c r="H474" s="219"/>
      <c r="I474" s="219"/>
      <c r="J474" s="219"/>
      <c r="K474" s="219"/>
    </row>
    <row r="475" spans="1:11" ht="16.5" x14ac:dyDescent="0.25">
      <c r="A475" s="6" t="s">
        <v>51</v>
      </c>
      <c r="B475" s="5" t="s">
        <v>144</v>
      </c>
      <c r="C475" s="30"/>
      <c r="D475" s="30"/>
      <c r="E475" s="30"/>
      <c r="F475" s="5"/>
      <c r="G475" s="5"/>
      <c r="H475" s="5"/>
      <c r="I475" s="5"/>
      <c r="J475" s="5"/>
      <c r="K475" s="30"/>
    </row>
    <row r="476" spans="1:11" ht="16.5" x14ac:dyDescent="0.25">
      <c r="A476" s="6" t="s">
        <v>59</v>
      </c>
      <c r="B476" s="6" t="s">
        <v>145</v>
      </c>
      <c r="C476" s="30"/>
      <c r="D476" s="30"/>
      <c r="E476" s="30"/>
      <c r="F476" s="5"/>
      <c r="G476" s="5"/>
      <c r="H476" s="5"/>
      <c r="I476" s="5"/>
      <c r="J476" s="5"/>
      <c r="K476" s="30"/>
    </row>
    <row r="477" spans="1:11" ht="16.5" x14ac:dyDescent="0.25">
      <c r="A477" s="6" t="s">
        <v>273</v>
      </c>
      <c r="B477" s="5"/>
      <c r="C477" s="30"/>
      <c r="D477" s="30"/>
      <c r="E477" s="30"/>
      <c r="F477" s="5"/>
      <c r="G477" s="5"/>
      <c r="H477" s="5"/>
      <c r="I477" s="5"/>
      <c r="J477" s="5"/>
      <c r="K477" s="30"/>
    </row>
    <row r="478" spans="1:11" ht="16.5" x14ac:dyDescent="0.25">
      <c r="A478" s="5" t="s">
        <v>172</v>
      </c>
      <c r="B478" s="5"/>
      <c r="C478" s="30"/>
      <c r="D478" s="30"/>
      <c r="E478" s="30"/>
      <c r="F478" s="5"/>
      <c r="G478" s="5"/>
      <c r="H478" s="5"/>
      <c r="I478" s="5"/>
      <c r="J478" s="5"/>
      <c r="K478" s="30"/>
    </row>
    <row r="479" spans="1:11" ht="16.5" x14ac:dyDescent="0.25">
      <c r="A479" s="7" t="str">
        <f>$A$12</f>
        <v>BÊN THUÊ (BÊN A): CÔNG TY TNHH XÂY DỰNG VIỆT PANEL</v>
      </c>
      <c r="B479" s="7"/>
      <c r="C479" s="40"/>
      <c r="D479" s="40"/>
      <c r="E479" s="40"/>
      <c r="F479" s="7"/>
      <c r="G479" s="7"/>
      <c r="H479" s="7"/>
      <c r="I479" s="7"/>
      <c r="J479" s="7"/>
      <c r="K479" s="40"/>
    </row>
    <row r="480" spans="1:11" ht="16.5" x14ac:dyDescent="0.25">
      <c r="A480" s="5" t="s">
        <v>125</v>
      </c>
      <c r="B480" s="5" t="str">
        <f>ĐCCN!$C$9</f>
        <v>Thôn Đông Phù, Xã Tiên Du, Tỉnh Bắc Ninh, Việt Nam</v>
      </c>
      <c r="C480" s="30"/>
      <c r="D480" s="30"/>
      <c r="E480" s="30"/>
      <c r="F480" s="5"/>
      <c r="G480" s="5"/>
      <c r="H480" s="5"/>
      <c r="I480" s="5"/>
      <c r="J480" s="5"/>
      <c r="K480" s="30"/>
    </row>
    <row r="481" spans="1:14" ht="16.5" x14ac:dyDescent="0.25">
      <c r="A481" s="5" t="s">
        <v>5</v>
      </c>
      <c r="B481" s="5"/>
      <c r="C481" s="198" t="str">
        <f>ĐCCN!$C$10</f>
        <v>0222 6535 699</v>
      </c>
      <c r="D481" s="208"/>
      <c r="E481" s="5"/>
      <c r="F481" s="5"/>
      <c r="G481" s="5"/>
      <c r="H481" s="5"/>
      <c r="I481" s="5"/>
      <c r="J481" s="5"/>
      <c r="K481" s="30"/>
    </row>
    <row r="482" spans="1:14" ht="16.5" x14ac:dyDescent="0.25">
      <c r="A482" s="5" t="s">
        <v>4</v>
      </c>
      <c r="B482" s="5"/>
      <c r="C482" s="209">
        <f>ĐCCN!$C$11</f>
        <v>616139999</v>
      </c>
      <c r="D482" s="209"/>
      <c r="E482" s="41" t="str">
        <f>ĐCCN!$E$11</f>
        <v>Tại MB Ngân hàng quân đội</v>
      </c>
      <c r="F482" s="5"/>
      <c r="G482" s="5"/>
      <c r="H482" s="5"/>
      <c r="I482" s="5"/>
      <c r="J482" s="5"/>
      <c r="K482" s="30"/>
    </row>
    <row r="483" spans="1:14" ht="16.5" x14ac:dyDescent="0.25">
      <c r="A483" s="5" t="s">
        <v>6</v>
      </c>
      <c r="B483" s="6"/>
      <c r="C483" s="198" t="str">
        <f>ĐCCN!$C$12</f>
        <v>2300856941</v>
      </c>
      <c r="D483" s="198"/>
      <c r="E483" s="6"/>
      <c r="F483" s="6"/>
      <c r="G483" s="5"/>
      <c r="H483" s="5"/>
      <c r="I483" s="5"/>
      <c r="J483" s="5"/>
      <c r="K483" s="30"/>
    </row>
    <row r="484" spans="1:14" ht="16.5" x14ac:dyDescent="0.25">
      <c r="A484" s="5" t="s">
        <v>7</v>
      </c>
      <c r="B484" s="5"/>
      <c r="C484" s="7" t="str">
        <f>ĐCCN!$C$13</f>
        <v>Ông Lưu Đình Cải</v>
      </c>
      <c r="D484" s="40"/>
      <c r="E484" s="5" t="str">
        <f>ĐCCN!$E$13</f>
        <v>Chức vụ: Giám đốc</v>
      </c>
      <c r="F484" s="5"/>
      <c r="G484" s="5"/>
      <c r="H484" s="5"/>
      <c r="I484" s="5"/>
      <c r="J484" s="5"/>
      <c r="K484" s="30"/>
    </row>
    <row r="485" spans="1:14" ht="16.5" x14ac:dyDescent="0.25">
      <c r="A485" s="5"/>
      <c r="B485" s="5"/>
      <c r="C485" s="30"/>
      <c r="D485" s="30"/>
      <c r="E485" s="30"/>
      <c r="F485" s="5"/>
      <c r="G485" s="5"/>
      <c r="H485" s="5"/>
      <c r="I485" s="5"/>
      <c r="J485" s="5"/>
      <c r="K485" s="30"/>
    </row>
    <row r="486" spans="1:14" ht="16.5" x14ac:dyDescent="0.25">
      <c r="A486" s="7" t="s">
        <v>8</v>
      </c>
      <c r="B486" s="7"/>
      <c r="C486" s="40"/>
      <c r="D486" s="40"/>
      <c r="E486" s="40"/>
      <c r="F486" s="7"/>
      <c r="G486" s="7"/>
      <c r="H486" s="7"/>
      <c r="I486" s="7"/>
      <c r="J486" s="7"/>
      <c r="K486" s="40"/>
    </row>
    <row r="487" spans="1:14" ht="16.5" x14ac:dyDescent="0.25">
      <c r="A487" s="5" t="s">
        <v>115</v>
      </c>
      <c r="B487" s="5"/>
      <c r="C487" s="30"/>
      <c r="D487" s="30"/>
      <c r="E487" s="30"/>
      <c r="F487" s="5"/>
      <c r="G487" s="5"/>
      <c r="H487" s="5"/>
      <c r="I487" s="5"/>
      <c r="J487" s="5"/>
      <c r="K487" s="30"/>
    </row>
    <row r="488" spans="1:14" ht="16.5" x14ac:dyDescent="0.25">
      <c r="A488" s="5" t="s">
        <v>5</v>
      </c>
      <c r="B488" s="5"/>
      <c r="C488" s="6" t="s">
        <v>9</v>
      </c>
      <c r="D488" s="24"/>
      <c r="E488" s="30"/>
      <c r="F488" s="5"/>
      <c r="G488" s="5"/>
      <c r="H488" s="5"/>
      <c r="I488" s="5"/>
      <c r="J488" s="5"/>
      <c r="K488" s="30"/>
    </row>
    <row r="489" spans="1:14" ht="16.5" x14ac:dyDescent="0.25">
      <c r="A489" s="5" t="s">
        <v>10</v>
      </c>
      <c r="B489" s="5"/>
      <c r="C489" s="32" t="str">
        <f>$C$22</f>
        <v>8331100096008</v>
      </c>
      <c r="D489" s="17"/>
      <c r="E489" s="201" t="str">
        <f>$E$22</f>
        <v>Tại Ngân hàng Thương mại cổ phần Quân đội - Chi nhánh Hoàng Quốc Việt</v>
      </c>
      <c r="F489" s="201"/>
      <c r="G489" s="201"/>
      <c r="H489" s="201"/>
      <c r="I489" s="201"/>
      <c r="J489" s="201"/>
      <c r="K489" s="201"/>
    </row>
    <row r="490" spans="1:14" ht="16.5" x14ac:dyDescent="0.25">
      <c r="A490" s="5" t="s">
        <v>6</v>
      </c>
      <c r="B490" s="5"/>
      <c r="C490" s="6" t="s">
        <v>19</v>
      </c>
      <c r="D490" s="24"/>
      <c r="E490" s="41"/>
      <c r="F490" s="5"/>
      <c r="G490" s="5"/>
      <c r="H490" s="5"/>
      <c r="I490" s="5"/>
      <c r="J490" s="5"/>
      <c r="K490" s="30"/>
    </row>
    <row r="491" spans="1:14" ht="16.5" x14ac:dyDescent="0.25">
      <c r="A491" s="5" t="s">
        <v>7</v>
      </c>
      <c r="B491" s="5"/>
      <c r="C491" s="7" t="s">
        <v>116</v>
      </c>
      <c r="D491" s="40"/>
      <c r="E491" s="41" t="s">
        <v>117</v>
      </c>
      <c r="F491" s="5"/>
      <c r="G491" s="5"/>
      <c r="H491" s="5"/>
      <c r="I491" s="5"/>
      <c r="J491" s="5"/>
      <c r="K491" s="30"/>
    </row>
    <row r="492" spans="1:14" ht="16.5" x14ac:dyDescent="0.25">
      <c r="A492" s="5"/>
      <c r="B492" s="5"/>
      <c r="C492" s="30"/>
      <c r="D492" s="30"/>
      <c r="E492" s="30"/>
      <c r="F492" s="5"/>
      <c r="G492" s="5"/>
      <c r="H492" s="5"/>
      <c r="I492" s="5"/>
      <c r="J492" s="5"/>
      <c r="K492" s="30"/>
    </row>
    <row r="493" spans="1:14" ht="16.5" x14ac:dyDescent="0.25">
      <c r="A493" s="5" t="s">
        <v>274</v>
      </c>
      <c r="B493" s="5"/>
      <c r="C493" s="30"/>
      <c r="D493" s="30"/>
      <c r="E493" s="30"/>
      <c r="F493" s="5"/>
      <c r="G493" s="5"/>
      <c r="H493" s="5"/>
      <c r="I493" s="5"/>
      <c r="J493" s="5"/>
      <c r="K493" s="30"/>
    </row>
    <row r="495" spans="1:14" ht="66" x14ac:dyDescent="0.25">
      <c r="A495" s="3" t="s">
        <v>12</v>
      </c>
      <c r="B495" s="3" t="s">
        <v>13</v>
      </c>
      <c r="C495" s="3" t="s">
        <v>23</v>
      </c>
      <c r="D495" s="3" t="s">
        <v>61</v>
      </c>
      <c r="E495" s="3" t="s">
        <v>14</v>
      </c>
      <c r="F495" s="3" t="s">
        <v>15</v>
      </c>
      <c r="G495" s="3" t="s">
        <v>16</v>
      </c>
      <c r="H495" s="3" t="s">
        <v>17</v>
      </c>
      <c r="I495" s="3" t="s">
        <v>26</v>
      </c>
      <c r="J495" s="59" t="s">
        <v>25</v>
      </c>
      <c r="K495" s="59" t="s">
        <v>18</v>
      </c>
      <c r="L495" s="85">
        <f>+G498+G500+G502+G504+G506+G508+G510+G512+G514+G516</f>
        <v>487292</v>
      </c>
      <c r="M495" s="1">
        <v>487346</v>
      </c>
      <c r="N495" s="72"/>
    </row>
    <row r="496" spans="1:14" ht="16.5" x14ac:dyDescent="0.25">
      <c r="A496" s="3" t="str">
        <f>ROMAN(1,0)</f>
        <v>I</v>
      </c>
      <c r="B496" s="21" t="s">
        <v>55</v>
      </c>
      <c r="C496" s="3"/>
      <c r="D496" s="3"/>
      <c r="E496" s="3"/>
      <c r="F496" s="3"/>
      <c r="G496" s="3"/>
      <c r="H496" s="3"/>
      <c r="I496" s="3"/>
      <c r="J496" s="69">
        <f>SUBTOTAL(9,J497:J516)</f>
        <v>1320892950</v>
      </c>
      <c r="K496" s="42"/>
    </row>
    <row r="497" spans="1:11" ht="17.25" x14ac:dyDescent="0.25">
      <c r="A497" s="229">
        <v>1</v>
      </c>
      <c r="B497" s="77" t="s">
        <v>148</v>
      </c>
      <c r="C497" s="42" t="s">
        <v>49</v>
      </c>
      <c r="D497" s="44">
        <v>46107</v>
      </c>
      <c r="E497" s="44">
        <v>46137</v>
      </c>
      <c r="F497" s="78">
        <v>21400</v>
      </c>
      <c r="G497" s="68">
        <f>+F497</f>
        <v>21400</v>
      </c>
      <c r="H497" s="4">
        <f>E497-D497+1</f>
        <v>31</v>
      </c>
      <c r="I497" s="4">
        <v>85</v>
      </c>
      <c r="J497" s="94">
        <f>+I497*H497*G497</f>
        <v>56389000</v>
      </c>
      <c r="K497" s="42"/>
    </row>
    <row r="498" spans="1:11" ht="16.5" x14ac:dyDescent="0.25">
      <c r="A498" s="229"/>
      <c r="B498" s="226" t="s">
        <v>20</v>
      </c>
      <c r="C498" s="227"/>
      <c r="D498" s="227"/>
      <c r="E498" s="227"/>
      <c r="F498" s="228"/>
      <c r="G498" s="69">
        <f>SUM(G497:G497)</f>
        <v>21400</v>
      </c>
      <c r="H498" s="4"/>
      <c r="I498" s="4"/>
      <c r="J498" s="69">
        <f>+SUBTOTAL(109,J497:J497)</f>
        <v>56389000</v>
      </c>
      <c r="K498" s="42"/>
    </row>
    <row r="499" spans="1:11" ht="17.25" x14ac:dyDescent="0.25">
      <c r="A499" s="224">
        <v>2</v>
      </c>
      <c r="B499" s="77" t="s">
        <v>122</v>
      </c>
      <c r="C499" s="42" t="s">
        <v>49</v>
      </c>
      <c r="D499" s="44">
        <v>46107</v>
      </c>
      <c r="E499" s="44">
        <v>46137</v>
      </c>
      <c r="F499" s="78">
        <v>34500</v>
      </c>
      <c r="G499" s="68">
        <f>+F499</f>
        <v>34500</v>
      </c>
      <c r="H499" s="4">
        <f t="shared" ref="H499" si="105">E499-D499+1</f>
        <v>31</v>
      </c>
      <c r="I499" s="4">
        <v>125</v>
      </c>
      <c r="J499" s="94">
        <f t="shared" ref="J499" si="106">+I499*H499*G499</f>
        <v>133687500</v>
      </c>
      <c r="K499" s="42"/>
    </row>
    <row r="500" spans="1:11" ht="16.5" x14ac:dyDescent="0.25">
      <c r="A500" s="225"/>
      <c r="B500" s="226" t="s">
        <v>20</v>
      </c>
      <c r="C500" s="227"/>
      <c r="D500" s="227"/>
      <c r="E500" s="227"/>
      <c r="F500" s="228"/>
      <c r="G500" s="69">
        <f>SUM(G499:G499)</f>
        <v>34500</v>
      </c>
      <c r="H500" s="4"/>
      <c r="I500" s="4"/>
      <c r="J500" s="69">
        <f>+SUBTOTAL(109,J499:J499)</f>
        <v>133687500</v>
      </c>
      <c r="K500" s="42"/>
    </row>
    <row r="501" spans="1:11" ht="17.25" x14ac:dyDescent="0.25">
      <c r="A501" s="224">
        <v>3</v>
      </c>
      <c r="B501" s="77" t="s">
        <v>118</v>
      </c>
      <c r="C501" s="42" t="s">
        <v>49</v>
      </c>
      <c r="D501" s="44">
        <v>46107</v>
      </c>
      <c r="E501" s="44">
        <v>46137</v>
      </c>
      <c r="F501" s="78">
        <v>14800</v>
      </c>
      <c r="G501" s="68">
        <f>+F501</f>
        <v>14800</v>
      </c>
      <c r="H501" s="4">
        <f t="shared" ref="H501" si="107">E501-D501+1</f>
        <v>31</v>
      </c>
      <c r="I501" s="4">
        <v>159</v>
      </c>
      <c r="J501" s="94">
        <f>+I501*H501*G501</f>
        <v>72949200</v>
      </c>
      <c r="K501" s="42"/>
    </row>
    <row r="502" spans="1:11" ht="16.5" x14ac:dyDescent="0.25">
      <c r="A502" s="225"/>
      <c r="B502" s="226" t="s">
        <v>20</v>
      </c>
      <c r="C502" s="227"/>
      <c r="D502" s="227"/>
      <c r="E502" s="227"/>
      <c r="F502" s="228"/>
      <c r="G502" s="69">
        <f>SUM(G501:G501)</f>
        <v>14800</v>
      </c>
      <c r="H502" s="4"/>
      <c r="I502" s="4"/>
      <c r="J502" s="69">
        <f>+SUBTOTAL(109,J501:J501)</f>
        <v>72949200</v>
      </c>
      <c r="K502" s="42"/>
    </row>
    <row r="503" spans="1:11" ht="17.25" x14ac:dyDescent="0.25">
      <c r="A503" s="224">
        <v>4</v>
      </c>
      <c r="B503" s="77" t="s">
        <v>50</v>
      </c>
      <c r="C503" s="42" t="s">
        <v>49</v>
      </c>
      <c r="D503" s="44">
        <v>46107</v>
      </c>
      <c r="E503" s="44">
        <v>46137</v>
      </c>
      <c r="F503" s="78">
        <v>52747</v>
      </c>
      <c r="G503" s="68">
        <f>+F503</f>
        <v>52747</v>
      </c>
      <c r="H503" s="4">
        <f t="shared" ref="H503" si="108">E503-D503+1</f>
        <v>31</v>
      </c>
      <c r="I503" s="4">
        <v>185</v>
      </c>
      <c r="J503" s="94">
        <f>+I503*H503*G503</f>
        <v>302504045</v>
      </c>
      <c r="K503" s="42"/>
    </row>
    <row r="504" spans="1:11" ht="16.5" x14ac:dyDescent="0.25">
      <c r="A504" s="225"/>
      <c r="B504" s="211" t="s">
        <v>20</v>
      </c>
      <c r="C504" s="211"/>
      <c r="D504" s="211"/>
      <c r="E504" s="211"/>
      <c r="F504" s="211"/>
      <c r="G504" s="69">
        <f>SUM(G503:G503)</f>
        <v>52747</v>
      </c>
      <c r="H504" s="4"/>
      <c r="I504" s="4"/>
      <c r="J504" s="69">
        <f>+SUBTOTAL(109,J503:J503)</f>
        <v>302504045</v>
      </c>
      <c r="K504" s="42"/>
    </row>
    <row r="505" spans="1:11" ht="17.25" x14ac:dyDescent="0.25">
      <c r="A505" s="224">
        <v>5</v>
      </c>
      <c r="B505" s="77" t="s">
        <v>126</v>
      </c>
      <c r="C505" s="42" t="s">
        <v>24</v>
      </c>
      <c r="D505" s="44">
        <v>46107</v>
      </c>
      <c r="E505" s="44">
        <v>46137</v>
      </c>
      <c r="F505" s="78">
        <v>35500</v>
      </c>
      <c r="G505" s="68">
        <f>+F505</f>
        <v>35500</v>
      </c>
      <c r="H505" s="4">
        <f t="shared" ref="H505" si="109">E505-D505+1</f>
        <v>31</v>
      </c>
      <c r="I505" s="4">
        <v>43</v>
      </c>
      <c r="J505" s="94">
        <f>+I505*H505*G505</f>
        <v>47321500</v>
      </c>
      <c r="K505" s="42"/>
    </row>
    <row r="506" spans="1:11" ht="16.5" x14ac:dyDescent="0.25">
      <c r="A506" s="225"/>
      <c r="B506" s="226" t="s">
        <v>20</v>
      </c>
      <c r="C506" s="227"/>
      <c r="D506" s="227"/>
      <c r="E506" s="227"/>
      <c r="F506" s="228"/>
      <c r="G506" s="69">
        <f>SUM(G505:G505)</f>
        <v>35500</v>
      </c>
      <c r="H506" s="4"/>
      <c r="I506" s="4"/>
      <c r="J506" s="69">
        <f>+SUBTOTAL(109,J505:J505)</f>
        <v>47321500</v>
      </c>
      <c r="K506" s="42"/>
    </row>
    <row r="507" spans="1:11" ht="17.25" x14ac:dyDescent="0.25">
      <c r="A507" s="224">
        <v>6</v>
      </c>
      <c r="B507" s="77" t="s">
        <v>149</v>
      </c>
      <c r="C507" s="42" t="s">
        <v>24</v>
      </c>
      <c r="D507" s="44">
        <v>46107</v>
      </c>
      <c r="E507" s="44">
        <v>46137</v>
      </c>
      <c r="F507" s="78">
        <v>23840</v>
      </c>
      <c r="G507" s="68">
        <f>+F507</f>
        <v>23840</v>
      </c>
      <c r="H507" s="4">
        <f t="shared" ref="H507" si="110">E507-D507+1</f>
        <v>31</v>
      </c>
      <c r="I507" s="4">
        <v>55</v>
      </c>
      <c r="J507" s="94">
        <f>+I507*H507*G507</f>
        <v>40647200</v>
      </c>
      <c r="K507" s="42"/>
    </row>
    <row r="508" spans="1:11" ht="16.5" x14ac:dyDescent="0.25">
      <c r="A508" s="225"/>
      <c r="B508" s="226" t="s">
        <v>20</v>
      </c>
      <c r="C508" s="227"/>
      <c r="D508" s="227"/>
      <c r="E508" s="227"/>
      <c r="F508" s="228"/>
      <c r="G508" s="69">
        <f>SUM(G507:G507)</f>
        <v>23840</v>
      </c>
      <c r="H508" s="4"/>
      <c r="I508" s="4"/>
      <c r="J508" s="69">
        <f>+SUBTOTAL(109,J507:J507)</f>
        <v>40647200</v>
      </c>
      <c r="K508" s="42"/>
    </row>
    <row r="509" spans="1:11" ht="17.25" x14ac:dyDescent="0.25">
      <c r="A509" s="224">
        <v>7</v>
      </c>
      <c r="B509" s="77" t="s">
        <v>0</v>
      </c>
      <c r="C509" s="42" t="s">
        <v>24</v>
      </c>
      <c r="D509" s="44">
        <v>46107</v>
      </c>
      <c r="E509" s="44">
        <v>46137</v>
      </c>
      <c r="F509" s="78">
        <v>238505</v>
      </c>
      <c r="G509" s="68">
        <f>+F509</f>
        <v>238505</v>
      </c>
      <c r="H509" s="4">
        <f t="shared" ref="H509" si="111">E509-D509+1</f>
        <v>31</v>
      </c>
      <c r="I509" s="4">
        <v>71</v>
      </c>
      <c r="J509" s="94">
        <f t="shared" ref="J509" si="112">+I509*H509*G509</f>
        <v>524949505</v>
      </c>
      <c r="K509" s="42"/>
    </row>
    <row r="510" spans="1:11" ht="16.5" x14ac:dyDescent="0.25">
      <c r="A510" s="225"/>
      <c r="B510" s="226" t="s">
        <v>20</v>
      </c>
      <c r="C510" s="227"/>
      <c r="D510" s="227"/>
      <c r="E510" s="227"/>
      <c r="F510" s="228"/>
      <c r="G510" s="69">
        <f>SUM(G509:G509)</f>
        <v>238505</v>
      </c>
      <c r="H510" s="4"/>
      <c r="I510" s="4"/>
      <c r="J510" s="69">
        <f>+SUBTOTAL(109,J509:J509)</f>
        <v>524949505</v>
      </c>
      <c r="K510" s="42"/>
    </row>
    <row r="511" spans="1:11" ht="16.5" x14ac:dyDescent="0.25">
      <c r="A511" s="224">
        <v>8</v>
      </c>
      <c r="B511" s="77" t="s">
        <v>150</v>
      </c>
      <c r="C511" s="42" t="s">
        <v>24</v>
      </c>
      <c r="D511" s="44">
        <v>46107</v>
      </c>
      <c r="E511" s="44">
        <v>46137</v>
      </c>
      <c r="F511" s="69">
        <v>33150</v>
      </c>
      <c r="G511" s="70">
        <f>+F511</f>
        <v>33150</v>
      </c>
      <c r="H511" s="4">
        <f t="shared" ref="H511" si="113">E511-D511+1</f>
        <v>31</v>
      </c>
      <c r="I511" s="67">
        <v>70</v>
      </c>
      <c r="J511" s="94">
        <f>+I511*H511*G511</f>
        <v>71935500</v>
      </c>
      <c r="K511" s="42"/>
    </row>
    <row r="512" spans="1:11" ht="16.5" x14ac:dyDescent="0.25">
      <c r="A512" s="225"/>
      <c r="B512" s="226" t="s">
        <v>20</v>
      </c>
      <c r="C512" s="227"/>
      <c r="D512" s="227"/>
      <c r="E512" s="227"/>
      <c r="F512" s="228"/>
      <c r="G512" s="69">
        <f>SUM(G511:G511)</f>
        <v>33150</v>
      </c>
      <c r="H512" s="4"/>
      <c r="I512" s="4"/>
      <c r="J512" s="69">
        <f>+SUBTOTAL(109,J511:J511)</f>
        <v>71935500</v>
      </c>
      <c r="K512" s="42"/>
    </row>
    <row r="513" spans="1:11" ht="17.25" x14ac:dyDescent="0.25">
      <c r="A513" s="224">
        <v>9</v>
      </c>
      <c r="B513" s="77" t="s">
        <v>151</v>
      </c>
      <c r="C513" s="42" t="s">
        <v>24</v>
      </c>
      <c r="D513" s="44">
        <v>46107</v>
      </c>
      <c r="E513" s="44">
        <v>46137</v>
      </c>
      <c r="F513" s="78">
        <v>31850</v>
      </c>
      <c r="G513" s="68">
        <f>+F513</f>
        <v>31850</v>
      </c>
      <c r="H513" s="4">
        <f t="shared" ref="H513" si="114">E513-D513+1</f>
        <v>31</v>
      </c>
      <c r="I513" s="4">
        <v>70</v>
      </c>
      <c r="J513" s="94">
        <f>+I513*H513*G513</f>
        <v>69114500</v>
      </c>
      <c r="K513" s="42"/>
    </row>
    <row r="514" spans="1:11" ht="16.5" x14ac:dyDescent="0.25">
      <c r="A514" s="225"/>
      <c r="B514" s="226" t="s">
        <v>20</v>
      </c>
      <c r="C514" s="227"/>
      <c r="D514" s="227"/>
      <c r="E514" s="227"/>
      <c r="F514" s="228"/>
      <c r="G514" s="69">
        <f>SUM(G513:G513)</f>
        <v>31850</v>
      </c>
      <c r="H514" s="4"/>
      <c r="I514" s="4"/>
      <c r="J514" s="69">
        <f>+SUBTOTAL(109,J513:J513)</f>
        <v>69114500</v>
      </c>
      <c r="K514" s="42"/>
    </row>
    <row r="515" spans="1:11" ht="17.25" x14ac:dyDescent="0.25">
      <c r="A515" s="224">
        <v>10</v>
      </c>
      <c r="B515" s="77" t="s">
        <v>171</v>
      </c>
      <c r="C515" s="42" t="s">
        <v>24</v>
      </c>
      <c r="D515" s="44">
        <v>46107</v>
      </c>
      <c r="E515" s="44">
        <v>46137</v>
      </c>
      <c r="F515" s="78">
        <v>1000</v>
      </c>
      <c r="G515" s="68">
        <f>+F515</f>
        <v>1000</v>
      </c>
      <c r="H515" s="4">
        <f t="shared" ref="H515" si="115">E515-D515+1</f>
        <v>31</v>
      </c>
      <c r="I515" s="4">
        <v>45</v>
      </c>
      <c r="J515" s="94">
        <f>+I515*H515*G515</f>
        <v>1395000</v>
      </c>
      <c r="K515" s="42"/>
    </row>
    <row r="516" spans="1:11" ht="16.5" x14ac:dyDescent="0.25">
      <c r="A516" s="225"/>
      <c r="B516" s="226" t="s">
        <v>20</v>
      </c>
      <c r="C516" s="227"/>
      <c r="D516" s="227"/>
      <c r="E516" s="227"/>
      <c r="F516" s="228"/>
      <c r="G516" s="69">
        <f>SUM(G515:G515)</f>
        <v>1000</v>
      </c>
      <c r="H516" s="8"/>
      <c r="I516" s="4"/>
      <c r="J516" s="69">
        <f>+SUBTOTAL(109,J515:J515)</f>
        <v>1395000</v>
      </c>
      <c r="K516" s="42"/>
    </row>
    <row r="517" spans="1:11" ht="16.5" x14ac:dyDescent="0.25">
      <c r="A517" s="59" t="str">
        <f>ROMAN(2,0)</f>
        <v>II</v>
      </c>
      <c r="B517" s="22" t="s">
        <v>56</v>
      </c>
      <c r="C517" s="59"/>
      <c r="D517" s="59"/>
      <c r="E517" s="59"/>
      <c r="F517" s="59"/>
      <c r="G517" s="69"/>
      <c r="H517" s="8"/>
      <c r="I517" s="8"/>
      <c r="J517" s="87"/>
      <c r="K517" s="97"/>
    </row>
    <row r="518" spans="1:11" ht="16.5" x14ac:dyDescent="0.25">
      <c r="A518" s="42">
        <v>1</v>
      </c>
      <c r="B518" s="80" t="s">
        <v>58</v>
      </c>
      <c r="C518" s="42" t="s">
        <v>57</v>
      </c>
      <c r="D518" s="42"/>
      <c r="E518" s="59"/>
      <c r="F518" s="79">
        <v>65</v>
      </c>
      <c r="G518" s="79"/>
      <c r="H518" s="4"/>
      <c r="I518" s="23">
        <v>5000000</v>
      </c>
      <c r="J518" s="220" t="s">
        <v>129</v>
      </c>
      <c r="K518" s="221"/>
    </row>
    <row r="519" spans="1:11" ht="16.5" x14ac:dyDescent="0.25">
      <c r="A519" s="42">
        <v>2</v>
      </c>
      <c r="B519" s="80" t="s">
        <v>73</v>
      </c>
      <c r="C519" s="42" t="s">
        <v>57</v>
      </c>
      <c r="D519" s="42"/>
      <c r="E519" s="59"/>
      <c r="F519" s="79">
        <v>1</v>
      </c>
      <c r="G519" s="79"/>
      <c r="H519" s="8"/>
      <c r="I519" s="23">
        <v>4500000</v>
      </c>
      <c r="J519" s="222"/>
      <c r="K519" s="223"/>
    </row>
    <row r="520" spans="1:11" ht="30" customHeight="1" x14ac:dyDescent="0.25">
      <c r="A520" s="211" t="s">
        <v>275</v>
      </c>
      <c r="B520" s="211"/>
      <c r="C520" s="211"/>
      <c r="D520" s="211"/>
      <c r="E520" s="211"/>
      <c r="F520" s="211"/>
      <c r="G520" s="211"/>
      <c r="H520" s="211"/>
      <c r="I520" s="211"/>
      <c r="J520" s="69">
        <f>SUBTOTAL(9,J497:J519)</f>
        <v>1320892950</v>
      </c>
      <c r="K520" s="98"/>
    </row>
    <row r="521" spans="1:11" ht="30" customHeight="1" x14ac:dyDescent="0.25">
      <c r="A521" s="211" t="s">
        <v>54</v>
      </c>
      <c r="B521" s="211"/>
      <c r="C521" s="211"/>
      <c r="D521" s="211"/>
      <c r="E521" s="211"/>
      <c r="F521" s="211"/>
      <c r="G521" s="211"/>
      <c r="H521" s="211"/>
      <c r="I521" s="211"/>
      <c r="J521" s="89">
        <f>ROUND(J520*8%,0)</f>
        <v>105671436</v>
      </c>
      <c r="K521" s="59"/>
    </row>
    <row r="522" spans="1:11" ht="30" customHeight="1" x14ac:dyDescent="0.25">
      <c r="A522" s="211" t="s">
        <v>27</v>
      </c>
      <c r="B522" s="211"/>
      <c r="C522" s="211"/>
      <c r="D522" s="211"/>
      <c r="E522" s="211"/>
      <c r="F522" s="211"/>
      <c r="G522" s="211"/>
      <c r="H522" s="211"/>
      <c r="I522" s="211"/>
      <c r="J522" s="69">
        <f>+J520+J521</f>
        <v>1426564386</v>
      </c>
      <c r="K522" s="59"/>
    </row>
    <row r="523" spans="1:11" ht="16.5" x14ac:dyDescent="0.25">
      <c r="A523" s="99" t="s">
        <v>123</v>
      </c>
      <c r="B523" s="100" t="s">
        <v>276</v>
      </c>
      <c r="C523" s="40"/>
      <c r="D523" s="40"/>
      <c r="E523" s="40"/>
      <c r="F523" s="40"/>
      <c r="G523" s="40"/>
      <c r="H523" s="40"/>
      <c r="I523" s="40"/>
      <c r="J523" s="90"/>
      <c r="K523" s="40"/>
    </row>
    <row r="524" spans="1:11" ht="16.5" x14ac:dyDescent="0.25">
      <c r="A524" s="5" t="s">
        <v>60</v>
      </c>
      <c r="B524" s="5"/>
      <c r="C524" s="30"/>
      <c r="D524" s="30"/>
      <c r="E524" s="30"/>
      <c r="F524" s="5"/>
      <c r="G524" s="5"/>
      <c r="H524" s="5"/>
      <c r="I524" s="5"/>
      <c r="J524" s="5"/>
      <c r="K524" s="102"/>
    </row>
    <row r="525" spans="1:11" ht="15.75" x14ac:dyDescent="0.25">
      <c r="A525" s="197" t="s">
        <v>21</v>
      </c>
      <c r="B525" s="197"/>
      <c r="C525" s="197"/>
      <c r="D525" s="197"/>
      <c r="E525" s="197" t="s">
        <v>22</v>
      </c>
      <c r="F525" s="197"/>
      <c r="G525" s="197"/>
      <c r="H525" s="197"/>
      <c r="I525" s="197"/>
      <c r="J525" s="197"/>
      <c r="K525" s="197"/>
    </row>
    <row r="530" spans="1:11" ht="15.75" x14ac:dyDescent="0.25">
      <c r="A530" s="197" t="s">
        <v>1</v>
      </c>
      <c r="B530" s="197"/>
      <c r="C530" s="197"/>
      <c r="D530" s="197"/>
      <c r="E530" s="197"/>
      <c r="F530" s="197"/>
      <c r="G530" s="197"/>
      <c r="H530" s="197"/>
      <c r="I530" s="197"/>
      <c r="J530" s="197"/>
      <c r="K530" s="197"/>
    </row>
    <row r="531" spans="1:11" ht="15.75" x14ac:dyDescent="0.25">
      <c r="A531" s="197" t="s">
        <v>2</v>
      </c>
      <c r="B531" s="197"/>
      <c r="C531" s="197"/>
      <c r="D531" s="197"/>
      <c r="E531" s="197"/>
      <c r="F531" s="197"/>
      <c r="G531" s="197"/>
      <c r="H531" s="197"/>
      <c r="I531" s="197"/>
      <c r="J531" s="197"/>
      <c r="K531" s="197"/>
    </row>
    <row r="532" spans="1:11" x14ac:dyDescent="0.25">
      <c r="A532" s="18"/>
      <c r="B532" s="18"/>
      <c r="C532" s="18"/>
      <c r="D532" s="18"/>
      <c r="E532" s="18"/>
      <c r="F532" s="18"/>
      <c r="G532" s="18"/>
      <c r="H532" s="18"/>
      <c r="I532" s="18"/>
      <c r="J532" s="18"/>
      <c r="K532" s="18"/>
    </row>
    <row r="533" spans="1:11" ht="20.25" x14ac:dyDescent="0.25">
      <c r="A533" s="204" t="s">
        <v>29</v>
      </c>
      <c r="B533" s="204"/>
      <c r="C533" s="204"/>
      <c r="D533" s="204"/>
      <c r="E533" s="204"/>
      <c r="F533" s="204"/>
      <c r="G533" s="204"/>
      <c r="H533" s="204"/>
      <c r="I533" s="204"/>
      <c r="J533" s="204"/>
      <c r="K533" s="204"/>
    </row>
    <row r="534" spans="1:11" ht="15.75" x14ac:dyDescent="0.25">
      <c r="A534" s="197" t="s">
        <v>282</v>
      </c>
      <c r="B534" s="197"/>
      <c r="C534" s="197"/>
      <c r="D534" s="197"/>
      <c r="E534" s="197"/>
      <c r="F534" s="197"/>
      <c r="G534" s="197"/>
      <c r="H534" s="197"/>
      <c r="I534" s="197"/>
      <c r="J534" s="197"/>
      <c r="K534" s="197"/>
    </row>
    <row r="535" spans="1:11" ht="15.75" x14ac:dyDescent="0.25">
      <c r="A535" s="60"/>
      <c r="B535" s="60"/>
      <c r="C535" s="60"/>
      <c r="D535" s="60"/>
      <c r="E535" s="60"/>
      <c r="F535" s="60"/>
      <c r="G535" s="60"/>
      <c r="H535" s="60"/>
      <c r="I535" s="60"/>
      <c r="J535" s="60"/>
      <c r="K535" s="60"/>
    </row>
    <row r="536" spans="1:11" ht="36" customHeight="1" x14ac:dyDescent="0.25">
      <c r="A536" s="219" t="str">
        <f>ĐCCN!$A$7</f>
        <v>- Căn cứ Hợp đồng kinh tế số 0412/HĐKT2025/TP-VIETPANEL ký ngày 04/12/2025 giữa Công ty TNHH xây dựng Việt Panel và Công ty Cổ phần Tập đoàn Thiết bị xây dựng TP về việc cho thuê thiết bị xây dựng.</v>
      </c>
      <c r="B536" s="219"/>
      <c r="C536" s="219"/>
      <c r="D536" s="219"/>
      <c r="E536" s="219"/>
      <c r="F536" s="219"/>
      <c r="G536" s="219"/>
      <c r="H536" s="219"/>
      <c r="I536" s="219"/>
      <c r="J536" s="219"/>
      <c r="K536" s="219"/>
    </row>
    <row r="537" spans="1:11" ht="16.5" x14ac:dyDescent="0.25">
      <c r="A537" s="6" t="s">
        <v>51</v>
      </c>
      <c r="B537" s="5" t="s">
        <v>144</v>
      </c>
      <c r="C537" s="30"/>
      <c r="D537" s="30"/>
      <c r="E537" s="30"/>
      <c r="F537" s="5"/>
      <c r="G537" s="5"/>
      <c r="H537" s="5"/>
      <c r="I537" s="5"/>
      <c r="J537" s="5"/>
      <c r="K537" s="30"/>
    </row>
    <row r="538" spans="1:11" ht="16.5" x14ac:dyDescent="0.25">
      <c r="A538" s="6" t="s">
        <v>59</v>
      </c>
      <c r="B538" s="6" t="s">
        <v>145</v>
      </c>
      <c r="C538" s="30"/>
      <c r="D538" s="30"/>
      <c r="E538" s="30"/>
      <c r="F538" s="5"/>
      <c r="G538" s="5"/>
      <c r="H538" s="5"/>
      <c r="I538" s="5"/>
      <c r="J538" s="5"/>
      <c r="K538" s="30"/>
    </row>
    <row r="539" spans="1:11" ht="16.5" x14ac:dyDescent="0.25">
      <c r="A539" s="6" t="s">
        <v>283</v>
      </c>
      <c r="B539" s="5"/>
      <c r="C539" s="30"/>
      <c r="D539" s="30"/>
      <c r="E539" s="30"/>
      <c r="F539" s="5"/>
      <c r="G539" s="5"/>
      <c r="H539" s="5"/>
      <c r="I539" s="5"/>
      <c r="J539" s="5"/>
      <c r="K539" s="30"/>
    </row>
    <row r="540" spans="1:11" ht="16.5" x14ac:dyDescent="0.25">
      <c r="A540" s="5" t="s">
        <v>172</v>
      </c>
      <c r="B540" s="5"/>
      <c r="C540" s="30"/>
      <c r="D540" s="30"/>
      <c r="E540" s="30"/>
      <c r="F540" s="5"/>
      <c r="G540" s="5"/>
      <c r="H540" s="5"/>
      <c r="I540" s="5"/>
      <c r="J540" s="5"/>
      <c r="K540" s="30"/>
    </row>
    <row r="541" spans="1:11" ht="16.5" x14ac:dyDescent="0.25">
      <c r="A541" s="7" t="str">
        <f>$A$12</f>
        <v>BÊN THUÊ (BÊN A): CÔNG TY TNHH XÂY DỰNG VIỆT PANEL</v>
      </c>
      <c r="B541" s="7"/>
      <c r="C541" s="40"/>
      <c r="D541" s="40"/>
      <c r="E541" s="40"/>
      <c r="F541" s="7"/>
      <c r="G541" s="7"/>
      <c r="H541" s="7"/>
      <c r="I541" s="7"/>
      <c r="J541" s="7"/>
      <c r="K541" s="40"/>
    </row>
    <row r="542" spans="1:11" ht="16.5" x14ac:dyDescent="0.25">
      <c r="A542" s="5" t="s">
        <v>125</v>
      </c>
      <c r="B542" s="5" t="str">
        <f>ĐCCN!$C$9</f>
        <v>Thôn Đông Phù, Xã Tiên Du, Tỉnh Bắc Ninh, Việt Nam</v>
      </c>
      <c r="C542" s="30"/>
      <c r="D542" s="30"/>
      <c r="E542" s="30"/>
      <c r="F542" s="5"/>
      <c r="G542" s="5"/>
      <c r="H542" s="5"/>
      <c r="I542" s="5"/>
      <c r="J542" s="5"/>
      <c r="K542" s="30"/>
    </row>
    <row r="543" spans="1:11" ht="16.5" x14ac:dyDescent="0.25">
      <c r="A543" s="5" t="s">
        <v>5</v>
      </c>
      <c r="B543" s="5"/>
      <c r="C543" s="198" t="str">
        <f>ĐCCN!$C$10</f>
        <v>0222 6535 699</v>
      </c>
      <c r="D543" s="208"/>
      <c r="E543" s="5"/>
      <c r="F543" s="5"/>
      <c r="G543" s="5"/>
      <c r="H543" s="5"/>
      <c r="I543" s="5"/>
      <c r="J543" s="5"/>
      <c r="K543" s="30"/>
    </row>
    <row r="544" spans="1:11" ht="16.5" x14ac:dyDescent="0.25">
      <c r="A544" s="5" t="s">
        <v>4</v>
      </c>
      <c r="B544" s="5"/>
      <c r="C544" s="209">
        <f>ĐCCN!$C$11</f>
        <v>616139999</v>
      </c>
      <c r="D544" s="209"/>
      <c r="E544" s="41" t="str">
        <f>ĐCCN!$E$11</f>
        <v>Tại MB Ngân hàng quân đội</v>
      </c>
      <c r="F544" s="5"/>
      <c r="G544" s="5"/>
      <c r="H544" s="5"/>
      <c r="I544" s="5"/>
      <c r="J544" s="5"/>
      <c r="K544" s="30"/>
    </row>
    <row r="545" spans="1:14" ht="16.5" x14ac:dyDescent="0.25">
      <c r="A545" s="5" t="s">
        <v>6</v>
      </c>
      <c r="B545" s="6"/>
      <c r="C545" s="198" t="str">
        <f>ĐCCN!$C$12</f>
        <v>2300856941</v>
      </c>
      <c r="D545" s="198"/>
      <c r="E545" s="6"/>
      <c r="F545" s="6"/>
      <c r="G545" s="5"/>
      <c r="H545" s="5"/>
      <c r="I545" s="5"/>
      <c r="J545" s="5"/>
      <c r="K545" s="30"/>
    </row>
    <row r="546" spans="1:14" ht="16.5" x14ac:dyDescent="0.25">
      <c r="A546" s="5" t="s">
        <v>7</v>
      </c>
      <c r="B546" s="5"/>
      <c r="C546" s="7" t="str">
        <f>ĐCCN!$C$13</f>
        <v>Ông Lưu Đình Cải</v>
      </c>
      <c r="D546" s="40"/>
      <c r="E546" s="5" t="str">
        <f>ĐCCN!$E$13</f>
        <v>Chức vụ: Giám đốc</v>
      </c>
      <c r="F546" s="5"/>
      <c r="G546" s="5"/>
      <c r="H546" s="5"/>
      <c r="I546" s="5"/>
      <c r="J546" s="5"/>
      <c r="K546" s="30"/>
    </row>
    <row r="547" spans="1:14" ht="16.5" x14ac:dyDescent="0.25">
      <c r="A547" s="5"/>
      <c r="B547" s="5"/>
      <c r="C547" s="30"/>
      <c r="D547" s="30"/>
      <c r="E547" s="30"/>
      <c r="F547" s="5"/>
      <c r="G547" s="5"/>
      <c r="H547" s="5"/>
      <c r="I547" s="5"/>
      <c r="J547" s="5"/>
      <c r="K547" s="30"/>
    </row>
    <row r="548" spans="1:14" ht="16.5" x14ac:dyDescent="0.25">
      <c r="A548" s="7" t="s">
        <v>8</v>
      </c>
      <c r="B548" s="7"/>
      <c r="C548" s="40"/>
      <c r="D548" s="40"/>
      <c r="E548" s="40"/>
      <c r="F548" s="7"/>
      <c r="G548" s="7"/>
      <c r="H548" s="7"/>
      <c r="I548" s="7"/>
      <c r="J548" s="7"/>
      <c r="K548" s="40"/>
    </row>
    <row r="549" spans="1:14" ht="16.5" x14ac:dyDescent="0.25">
      <c r="A549" s="5" t="s">
        <v>115</v>
      </c>
      <c r="B549" s="5"/>
      <c r="C549" s="30"/>
      <c r="D549" s="30"/>
      <c r="E549" s="30"/>
      <c r="F549" s="5"/>
      <c r="G549" s="5"/>
      <c r="H549" s="5"/>
      <c r="I549" s="5"/>
      <c r="J549" s="5"/>
      <c r="K549" s="30"/>
    </row>
    <row r="550" spans="1:14" ht="16.5" x14ac:dyDescent="0.25">
      <c r="A550" s="5" t="s">
        <v>5</v>
      </c>
      <c r="B550" s="5"/>
      <c r="C550" s="6" t="s">
        <v>9</v>
      </c>
      <c r="D550" s="24"/>
      <c r="E550" s="30"/>
      <c r="F550" s="5"/>
      <c r="G550" s="5"/>
      <c r="H550" s="5"/>
      <c r="I550" s="5"/>
      <c r="J550" s="5"/>
      <c r="K550" s="30"/>
    </row>
    <row r="551" spans="1:14" ht="16.5" x14ac:dyDescent="0.25">
      <c r="A551" s="5" t="s">
        <v>10</v>
      </c>
      <c r="B551" s="5"/>
      <c r="C551" s="32" t="str">
        <f>$C$22</f>
        <v>8331100096008</v>
      </c>
      <c r="D551" s="17"/>
      <c r="E551" s="201" t="str">
        <f>$E$22</f>
        <v>Tại Ngân hàng Thương mại cổ phần Quân đội - Chi nhánh Hoàng Quốc Việt</v>
      </c>
      <c r="F551" s="201"/>
      <c r="G551" s="201"/>
      <c r="H551" s="201"/>
      <c r="I551" s="201"/>
      <c r="J551" s="201"/>
      <c r="K551" s="201"/>
    </row>
    <row r="552" spans="1:14" ht="16.5" x14ac:dyDescent="0.25">
      <c r="A552" s="5" t="s">
        <v>6</v>
      </c>
      <c r="B552" s="5"/>
      <c r="C552" s="6" t="s">
        <v>19</v>
      </c>
      <c r="D552" s="24"/>
      <c r="E552" s="41"/>
      <c r="F552" s="5"/>
      <c r="G552" s="5"/>
      <c r="H552" s="5"/>
      <c r="I552" s="5"/>
      <c r="J552" s="5"/>
      <c r="K552" s="30"/>
    </row>
    <row r="553" spans="1:14" ht="16.5" x14ac:dyDescent="0.25">
      <c r="A553" s="5" t="s">
        <v>7</v>
      </c>
      <c r="B553" s="5"/>
      <c r="C553" s="7" t="s">
        <v>116</v>
      </c>
      <c r="D553" s="40"/>
      <c r="E553" s="41" t="s">
        <v>117</v>
      </c>
      <c r="F553" s="5"/>
      <c r="G553" s="5"/>
      <c r="H553" s="5"/>
      <c r="I553" s="5"/>
      <c r="J553" s="5"/>
      <c r="K553" s="30"/>
    </row>
    <row r="554" spans="1:14" ht="16.5" x14ac:dyDescent="0.25">
      <c r="A554" s="5"/>
      <c r="B554" s="5"/>
      <c r="C554" s="30"/>
      <c r="D554" s="30"/>
      <c r="E554" s="30"/>
      <c r="F554" s="5"/>
      <c r="G554" s="5"/>
      <c r="H554" s="5"/>
      <c r="I554" s="5"/>
      <c r="J554" s="5"/>
      <c r="K554" s="30"/>
    </row>
    <row r="555" spans="1:14" ht="16.5" x14ac:dyDescent="0.25">
      <c r="A555" s="5" t="s">
        <v>284</v>
      </c>
      <c r="B555" s="5"/>
      <c r="C555" s="30"/>
      <c r="D555" s="30"/>
      <c r="E555" s="30"/>
      <c r="F555" s="5"/>
      <c r="G555" s="5"/>
      <c r="H555" s="5"/>
      <c r="I555" s="5"/>
      <c r="J555" s="5"/>
      <c r="K555" s="30"/>
      <c r="L555" s="85">
        <v>444423</v>
      </c>
      <c r="M555" s="72">
        <f>L557-L555</f>
        <v>-54</v>
      </c>
    </row>
    <row r="557" spans="1:14" ht="66" x14ac:dyDescent="0.25">
      <c r="A557" s="3" t="s">
        <v>12</v>
      </c>
      <c r="B557" s="3" t="s">
        <v>13</v>
      </c>
      <c r="C557" s="3" t="s">
        <v>23</v>
      </c>
      <c r="D557" s="3" t="s">
        <v>61</v>
      </c>
      <c r="E557" s="3" t="s">
        <v>14</v>
      </c>
      <c r="F557" s="3" t="s">
        <v>15</v>
      </c>
      <c r="G557" s="3" t="s">
        <v>16</v>
      </c>
      <c r="H557" s="3" t="s">
        <v>17</v>
      </c>
      <c r="I557" s="3" t="s">
        <v>26</v>
      </c>
      <c r="J557" s="59" t="s">
        <v>25</v>
      </c>
      <c r="K557" s="59" t="s">
        <v>18</v>
      </c>
      <c r="L557" s="85">
        <f>+G564+G575+G583+G597+G599+G602+G613+G615+G617+G619</f>
        <v>444369</v>
      </c>
      <c r="M557" s="119"/>
      <c r="N557" s="72"/>
    </row>
    <row r="558" spans="1:14" ht="16.5" x14ac:dyDescent="0.25">
      <c r="A558" s="3" t="str">
        <f>ROMAN(1,0)</f>
        <v>I</v>
      </c>
      <c r="B558" s="21" t="s">
        <v>55</v>
      </c>
      <c r="C558" s="3"/>
      <c r="D558" s="3"/>
      <c r="E558" s="3"/>
      <c r="F558" s="3"/>
      <c r="G558" s="3"/>
      <c r="H558" s="3"/>
      <c r="I558" s="3"/>
      <c r="J558" s="69">
        <f>SUBTOTAL(9,J559:J619)</f>
        <v>1226896083</v>
      </c>
      <c r="K558" s="42"/>
      <c r="L558" s="86"/>
    </row>
    <row r="559" spans="1:14" ht="17.25" x14ac:dyDescent="0.25">
      <c r="A559" s="218">
        <v>1</v>
      </c>
      <c r="B559" s="103" t="s">
        <v>148</v>
      </c>
      <c r="C559" s="104" t="s">
        <v>49</v>
      </c>
      <c r="D559" s="105">
        <v>46138</v>
      </c>
      <c r="E559" s="105">
        <v>46167</v>
      </c>
      <c r="F559" s="106">
        <v>21400</v>
      </c>
      <c r="G559" s="107">
        <f>+F559</f>
        <v>21400</v>
      </c>
      <c r="H559" s="108">
        <f>E559-D559+1</f>
        <v>30</v>
      </c>
      <c r="I559" s="108">
        <v>85</v>
      </c>
      <c r="J559" s="94">
        <f>+I559*H559*G559</f>
        <v>54570000</v>
      </c>
      <c r="K559" s="42"/>
      <c r="L559" s="86"/>
    </row>
    <row r="560" spans="1:14" ht="17.25" x14ac:dyDescent="0.25">
      <c r="A560" s="218"/>
      <c r="B560" s="103" t="s">
        <v>148</v>
      </c>
      <c r="C560" s="104" t="s">
        <v>49</v>
      </c>
      <c r="D560" s="109">
        <v>46147</v>
      </c>
      <c r="E560" s="105">
        <v>46167</v>
      </c>
      <c r="F560" s="110"/>
      <c r="G560" s="107">
        <v>-400</v>
      </c>
      <c r="H560" s="108">
        <f t="shared" ref="H560:H563" si="116">E560-D560+1</f>
        <v>21</v>
      </c>
      <c r="I560" s="108">
        <v>85</v>
      </c>
      <c r="J560" s="94">
        <f t="shared" ref="J560:J563" si="117">+I560*H560*G560</f>
        <v>-714000</v>
      </c>
      <c r="K560" s="42"/>
      <c r="L560" s="86">
        <v>46148</v>
      </c>
    </row>
    <row r="561" spans="1:12" ht="17.25" x14ac:dyDescent="0.25">
      <c r="A561" s="218"/>
      <c r="B561" s="103" t="s">
        <v>148</v>
      </c>
      <c r="C561" s="104" t="s">
        <v>49</v>
      </c>
      <c r="D561" s="109">
        <v>46153</v>
      </c>
      <c r="E561" s="105">
        <v>46167</v>
      </c>
      <c r="F561" s="110"/>
      <c r="G561" s="107">
        <v>-200</v>
      </c>
      <c r="H561" s="108">
        <f t="shared" si="116"/>
        <v>15</v>
      </c>
      <c r="I561" s="108">
        <v>85</v>
      </c>
      <c r="J561" s="94">
        <f t="shared" si="117"/>
        <v>-255000</v>
      </c>
      <c r="K561" s="42"/>
      <c r="L561" s="86">
        <v>46154</v>
      </c>
    </row>
    <row r="562" spans="1:12" ht="17.25" x14ac:dyDescent="0.25">
      <c r="A562" s="218"/>
      <c r="B562" s="103" t="s">
        <v>148</v>
      </c>
      <c r="C562" s="104" t="s">
        <v>49</v>
      </c>
      <c r="D562" s="109">
        <v>46155</v>
      </c>
      <c r="E562" s="105">
        <v>46167</v>
      </c>
      <c r="F562" s="110"/>
      <c r="G562" s="107">
        <v>-200</v>
      </c>
      <c r="H562" s="108">
        <f t="shared" si="116"/>
        <v>13</v>
      </c>
      <c r="I562" s="108">
        <v>85</v>
      </c>
      <c r="J562" s="94">
        <f t="shared" si="117"/>
        <v>-221000</v>
      </c>
      <c r="K562" s="42"/>
      <c r="L562" s="86">
        <v>46156</v>
      </c>
    </row>
    <row r="563" spans="1:12" ht="17.25" x14ac:dyDescent="0.25">
      <c r="A563" s="218"/>
      <c r="B563" s="103" t="s">
        <v>148</v>
      </c>
      <c r="C563" s="104" t="s">
        <v>49</v>
      </c>
      <c r="D563" s="109">
        <v>46159</v>
      </c>
      <c r="E563" s="105">
        <v>46167</v>
      </c>
      <c r="F563" s="110"/>
      <c r="G563" s="107">
        <v>-12</v>
      </c>
      <c r="H563" s="108">
        <f t="shared" si="116"/>
        <v>9</v>
      </c>
      <c r="I563" s="108">
        <v>85</v>
      </c>
      <c r="J563" s="94">
        <f t="shared" si="117"/>
        <v>-9180</v>
      </c>
      <c r="K563" s="42"/>
      <c r="L563" s="86">
        <v>46160</v>
      </c>
    </row>
    <row r="564" spans="1:12" ht="16.5" x14ac:dyDescent="0.25">
      <c r="A564" s="218"/>
      <c r="B564" s="215" t="s">
        <v>20</v>
      </c>
      <c r="C564" s="216"/>
      <c r="D564" s="216"/>
      <c r="E564" s="216"/>
      <c r="F564" s="217"/>
      <c r="G564" s="111">
        <f>SUM(G559:G563)</f>
        <v>20588</v>
      </c>
      <c r="H564" s="108"/>
      <c r="I564" s="108"/>
      <c r="J564" s="69">
        <f>+SUBTOTAL(109,J559:J563)</f>
        <v>53370820</v>
      </c>
      <c r="K564" s="42"/>
      <c r="L564" s="86"/>
    </row>
    <row r="565" spans="1:12" ht="17.25" x14ac:dyDescent="0.25">
      <c r="A565" s="212">
        <v>2</v>
      </c>
      <c r="B565" s="103" t="s">
        <v>122</v>
      </c>
      <c r="C565" s="104" t="s">
        <v>49</v>
      </c>
      <c r="D565" s="105">
        <v>46138</v>
      </c>
      <c r="E565" s="105">
        <v>46167</v>
      </c>
      <c r="F565" s="106">
        <v>34500</v>
      </c>
      <c r="G565" s="107">
        <f>+F565</f>
        <v>34500</v>
      </c>
      <c r="H565" s="108">
        <f>E565-D565+1</f>
        <v>30</v>
      </c>
      <c r="I565" s="108">
        <v>125</v>
      </c>
      <c r="J565" s="94">
        <f t="shared" ref="J565" si="118">+I565*H565*G565</f>
        <v>129375000</v>
      </c>
      <c r="K565" s="42"/>
      <c r="L565" s="86"/>
    </row>
    <row r="566" spans="1:12" ht="17.25" x14ac:dyDescent="0.25">
      <c r="A566" s="213"/>
      <c r="B566" s="103" t="s">
        <v>122</v>
      </c>
      <c r="C566" s="104" t="s">
        <v>49</v>
      </c>
      <c r="D566" s="109">
        <v>46147</v>
      </c>
      <c r="E566" s="105">
        <v>46167</v>
      </c>
      <c r="F566" s="110"/>
      <c r="G566" s="107">
        <v>-1000</v>
      </c>
      <c r="H566" s="108">
        <f>E566-D566+1</f>
        <v>21</v>
      </c>
      <c r="I566" s="108">
        <v>125</v>
      </c>
      <c r="J566" s="94">
        <f t="shared" ref="J566:J574" si="119">+I566*H566*G566</f>
        <v>-2625000</v>
      </c>
      <c r="K566" s="42"/>
      <c r="L566" s="86">
        <v>46148</v>
      </c>
    </row>
    <row r="567" spans="1:12" ht="17.25" x14ac:dyDescent="0.25">
      <c r="A567" s="213"/>
      <c r="B567" s="103" t="s">
        <v>122</v>
      </c>
      <c r="C567" s="104" t="s">
        <v>49</v>
      </c>
      <c r="D567" s="109">
        <v>46150</v>
      </c>
      <c r="E567" s="105">
        <v>46167</v>
      </c>
      <c r="F567" s="110"/>
      <c r="G567" s="107">
        <v>-200</v>
      </c>
      <c r="H567" s="108">
        <f t="shared" ref="H567:H574" si="120">E567-D567+1</f>
        <v>18</v>
      </c>
      <c r="I567" s="108">
        <v>125</v>
      </c>
      <c r="J567" s="94">
        <f t="shared" si="119"/>
        <v>-450000</v>
      </c>
      <c r="K567" s="42"/>
      <c r="L567" s="86">
        <v>46151</v>
      </c>
    </row>
    <row r="568" spans="1:12" ht="17.25" x14ac:dyDescent="0.25">
      <c r="A568" s="213"/>
      <c r="B568" s="103" t="s">
        <v>122</v>
      </c>
      <c r="C568" s="104" t="s">
        <v>49</v>
      </c>
      <c r="D568" s="109">
        <v>46153</v>
      </c>
      <c r="E568" s="105">
        <v>46167</v>
      </c>
      <c r="F568" s="110"/>
      <c r="G568" s="107">
        <v>-600</v>
      </c>
      <c r="H568" s="108">
        <f t="shared" si="120"/>
        <v>15</v>
      </c>
      <c r="I568" s="108">
        <v>125</v>
      </c>
      <c r="J568" s="94">
        <f t="shared" si="119"/>
        <v>-1125000</v>
      </c>
      <c r="K568" s="42"/>
      <c r="L568" s="86">
        <v>46154</v>
      </c>
    </row>
    <row r="569" spans="1:12" ht="17.25" x14ac:dyDescent="0.25">
      <c r="A569" s="213"/>
      <c r="B569" s="103" t="s">
        <v>122</v>
      </c>
      <c r="C569" s="104" t="s">
        <v>49</v>
      </c>
      <c r="D569" s="109">
        <v>46155</v>
      </c>
      <c r="E569" s="105">
        <v>46167</v>
      </c>
      <c r="F569" s="110"/>
      <c r="G569" s="107">
        <v>-500</v>
      </c>
      <c r="H569" s="108">
        <f t="shared" si="120"/>
        <v>13</v>
      </c>
      <c r="I569" s="108">
        <v>125</v>
      </c>
      <c r="J569" s="94">
        <f t="shared" si="119"/>
        <v>-812500</v>
      </c>
      <c r="K569" s="42"/>
      <c r="L569" s="86">
        <v>46156</v>
      </c>
    </row>
    <row r="570" spans="1:12" ht="17.25" x14ac:dyDescent="0.25">
      <c r="A570" s="213"/>
      <c r="B570" s="103" t="s">
        <v>122</v>
      </c>
      <c r="C570" s="104" t="s">
        <v>49</v>
      </c>
      <c r="D570" s="109">
        <v>46157</v>
      </c>
      <c r="E570" s="105">
        <v>46167</v>
      </c>
      <c r="F570" s="110"/>
      <c r="G570" s="107">
        <v>-500</v>
      </c>
      <c r="H570" s="108">
        <f t="shared" si="120"/>
        <v>11</v>
      </c>
      <c r="I570" s="108">
        <v>125</v>
      </c>
      <c r="J570" s="94">
        <f t="shared" si="119"/>
        <v>-687500</v>
      </c>
      <c r="K570" s="42"/>
      <c r="L570" s="86">
        <v>46158</v>
      </c>
    </row>
    <row r="571" spans="1:12" ht="17.25" x14ac:dyDescent="0.25">
      <c r="A571" s="213"/>
      <c r="B571" s="103" t="s">
        <v>122</v>
      </c>
      <c r="C571" s="104" t="s">
        <v>49</v>
      </c>
      <c r="D571" s="109">
        <v>46159</v>
      </c>
      <c r="E571" s="105">
        <v>46167</v>
      </c>
      <c r="F571" s="110"/>
      <c r="G571" s="107">
        <v>-199</v>
      </c>
      <c r="H571" s="108">
        <f t="shared" si="120"/>
        <v>9</v>
      </c>
      <c r="I571" s="108">
        <v>125</v>
      </c>
      <c r="J571" s="94">
        <f t="shared" si="119"/>
        <v>-223875</v>
      </c>
      <c r="K571" s="42"/>
      <c r="L571" s="86">
        <v>46160</v>
      </c>
    </row>
    <row r="572" spans="1:12" ht="17.25" x14ac:dyDescent="0.25">
      <c r="A572" s="213"/>
      <c r="B572" s="103" t="s">
        <v>122</v>
      </c>
      <c r="C572" s="104" t="s">
        <v>49</v>
      </c>
      <c r="D572" s="109">
        <v>46162</v>
      </c>
      <c r="E572" s="105">
        <v>46167</v>
      </c>
      <c r="F572" s="110"/>
      <c r="G572" s="107">
        <v>-500</v>
      </c>
      <c r="H572" s="108">
        <f t="shared" si="120"/>
        <v>6</v>
      </c>
      <c r="I572" s="108">
        <v>125</v>
      </c>
      <c r="J572" s="94">
        <f t="shared" si="119"/>
        <v>-375000</v>
      </c>
      <c r="K572" s="42"/>
      <c r="L572" s="86">
        <v>46163</v>
      </c>
    </row>
    <row r="573" spans="1:12" ht="17.25" x14ac:dyDescent="0.25">
      <c r="A573" s="213"/>
      <c r="B573" s="103" t="s">
        <v>122</v>
      </c>
      <c r="C573" s="104" t="s">
        <v>49</v>
      </c>
      <c r="D573" s="109">
        <v>46163</v>
      </c>
      <c r="E573" s="105">
        <v>46167</v>
      </c>
      <c r="F573" s="110"/>
      <c r="G573" s="107">
        <v>-300</v>
      </c>
      <c r="H573" s="108">
        <f t="shared" si="120"/>
        <v>5</v>
      </c>
      <c r="I573" s="108">
        <v>125</v>
      </c>
      <c r="J573" s="94">
        <f t="shared" si="119"/>
        <v>-187500</v>
      </c>
      <c r="K573" s="42"/>
      <c r="L573" s="86">
        <v>46164</v>
      </c>
    </row>
    <row r="574" spans="1:12" ht="17.25" x14ac:dyDescent="0.25">
      <c r="A574" s="213"/>
      <c r="B574" s="103" t="s">
        <v>122</v>
      </c>
      <c r="C574" s="104" t="s">
        <v>49</v>
      </c>
      <c r="D574" s="109">
        <v>46165</v>
      </c>
      <c r="E574" s="105">
        <v>46167</v>
      </c>
      <c r="F574" s="110"/>
      <c r="G574" s="107">
        <v>-100</v>
      </c>
      <c r="H574" s="108">
        <f t="shared" si="120"/>
        <v>3</v>
      </c>
      <c r="I574" s="108">
        <v>125</v>
      </c>
      <c r="J574" s="94">
        <f t="shared" si="119"/>
        <v>-37500</v>
      </c>
      <c r="K574" s="42"/>
      <c r="L574" s="86">
        <v>46166</v>
      </c>
    </row>
    <row r="575" spans="1:12" ht="16.5" x14ac:dyDescent="0.25">
      <c r="A575" s="214"/>
      <c r="B575" s="215" t="s">
        <v>20</v>
      </c>
      <c r="C575" s="216"/>
      <c r="D575" s="216"/>
      <c r="E575" s="216"/>
      <c r="F575" s="217"/>
      <c r="G575" s="111">
        <f>SUM(G565:G574)</f>
        <v>30601</v>
      </c>
      <c r="H575" s="108"/>
      <c r="I575" s="108"/>
      <c r="J575" s="69">
        <f>+SUBTOTAL(109,J565:J574)</f>
        <v>122851125</v>
      </c>
      <c r="K575" s="42"/>
      <c r="L575" s="86"/>
    </row>
    <row r="576" spans="1:12" ht="17.25" x14ac:dyDescent="0.25">
      <c r="A576" s="212">
        <v>3</v>
      </c>
      <c r="B576" s="103" t="s">
        <v>118</v>
      </c>
      <c r="C576" s="104" t="s">
        <v>49</v>
      </c>
      <c r="D576" s="105">
        <v>46138</v>
      </c>
      <c r="E576" s="105">
        <v>46167</v>
      </c>
      <c r="F576" s="106">
        <v>14800</v>
      </c>
      <c r="G576" s="107">
        <f>+F576</f>
        <v>14800</v>
      </c>
      <c r="H576" s="108">
        <f t="shared" ref="H576" si="121">E576-D576+1</f>
        <v>30</v>
      </c>
      <c r="I576" s="108">
        <v>159</v>
      </c>
      <c r="J576" s="94">
        <f>+I576*H576*G576</f>
        <v>70596000</v>
      </c>
      <c r="K576" s="42"/>
      <c r="L576" s="86"/>
    </row>
    <row r="577" spans="1:12" ht="17.25" x14ac:dyDescent="0.25">
      <c r="A577" s="213"/>
      <c r="B577" s="103" t="s">
        <v>118</v>
      </c>
      <c r="C577" s="104" t="s">
        <v>49</v>
      </c>
      <c r="D577" s="109">
        <v>46155</v>
      </c>
      <c r="E577" s="105">
        <v>46167</v>
      </c>
      <c r="F577" s="110"/>
      <c r="G577" s="107">
        <v>-100</v>
      </c>
      <c r="H577" s="108">
        <f t="shared" ref="H577:H582" si="122">E577-D577+1</f>
        <v>13</v>
      </c>
      <c r="I577" s="108">
        <v>159</v>
      </c>
      <c r="J577" s="94">
        <f t="shared" ref="J577:J582" si="123">+I577*H577*G577</f>
        <v>-206700</v>
      </c>
      <c r="K577" s="42"/>
      <c r="L577" s="86">
        <v>46156</v>
      </c>
    </row>
    <row r="578" spans="1:12" ht="17.25" x14ac:dyDescent="0.25">
      <c r="A578" s="213"/>
      <c r="B578" s="103" t="s">
        <v>118</v>
      </c>
      <c r="C578" s="104" t="s">
        <v>49</v>
      </c>
      <c r="D578" s="109">
        <v>46157</v>
      </c>
      <c r="E578" s="105">
        <v>46167</v>
      </c>
      <c r="F578" s="110"/>
      <c r="G578" s="107">
        <v>-200</v>
      </c>
      <c r="H578" s="108">
        <f t="shared" si="122"/>
        <v>11</v>
      </c>
      <c r="I578" s="108">
        <v>159</v>
      </c>
      <c r="J578" s="94">
        <f t="shared" si="123"/>
        <v>-349800</v>
      </c>
      <c r="K578" s="42"/>
      <c r="L578" s="86">
        <v>46158</v>
      </c>
    </row>
    <row r="579" spans="1:12" ht="17.25" x14ac:dyDescent="0.25">
      <c r="A579" s="213"/>
      <c r="B579" s="103" t="s">
        <v>118</v>
      </c>
      <c r="C579" s="104" t="s">
        <v>49</v>
      </c>
      <c r="D579" s="109">
        <v>46159</v>
      </c>
      <c r="E579" s="105">
        <v>46167</v>
      </c>
      <c r="F579" s="110"/>
      <c r="G579" s="107">
        <v>-300</v>
      </c>
      <c r="H579" s="108">
        <f t="shared" si="122"/>
        <v>9</v>
      </c>
      <c r="I579" s="108">
        <v>159</v>
      </c>
      <c r="J579" s="94">
        <f t="shared" si="123"/>
        <v>-429300</v>
      </c>
      <c r="K579" s="42"/>
      <c r="L579" s="86">
        <v>46160</v>
      </c>
    </row>
    <row r="580" spans="1:12" ht="17.25" x14ac:dyDescent="0.25">
      <c r="A580" s="213"/>
      <c r="B580" s="103" t="s">
        <v>118</v>
      </c>
      <c r="C580" s="104" t="s">
        <v>49</v>
      </c>
      <c r="D580" s="109">
        <v>46162</v>
      </c>
      <c r="E580" s="105">
        <v>46167</v>
      </c>
      <c r="F580" s="110"/>
      <c r="G580" s="107">
        <v>-100</v>
      </c>
      <c r="H580" s="108">
        <f t="shared" si="122"/>
        <v>6</v>
      </c>
      <c r="I580" s="108">
        <v>159</v>
      </c>
      <c r="J580" s="94">
        <f t="shared" si="123"/>
        <v>-95400</v>
      </c>
      <c r="K580" s="42"/>
      <c r="L580" s="86">
        <v>46163</v>
      </c>
    </row>
    <row r="581" spans="1:12" ht="17.25" x14ac:dyDescent="0.25">
      <c r="A581" s="213"/>
      <c r="B581" s="103" t="s">
        <v>118</v>
      </c>
      <c r="C581" s="104" t="s">
        <v>49</v>
      </c>
      <c r="D581" s="109">
        <v>46163</v>
      </c>
      <c r="E581" s="105">
        <v>46167</v>
      </c>
      <c r="F581" s="110"/>
      <c r="G581" s="107">
        <v>-500</v>
      </c>
      <c r="H581" s="108">
        <f t="shared" si="122"/>
        <v>5</v>
      </c>
      <c r="I581" s="108">
        <v>159</v>
      </c>
      <c r="J581" s="94">
        <f t="shared" si="123"/>
        <v>-397500</v>
      </c>
      <c r="K581" s="42"/>
      <c r="L581" s="86">
        <v>46164</v>
      </c>
    </row>
    <row r="582" spans="1:12" ht="17.25" x14ac:dyDescent="0.25">
      <c r="A582" s="213"/>
      <c r="B582" s="103" t="s">
        <v>118</v>
      </c>
      <c r="C582" s="104" t="s">
        <v>49</v>
      </c>
      <c r="D582" s="109">
        <v>46165</v>
      </c>
      <c r="E582" s="105">
        <v>46167</v>
      </c>
      <c r="F582" s="110"/>
      <c r="G582" s="107">
        <v>-400</v>
      </c>
      <c r="H582" s="108">
        <f t="shared" si="122"/>
        <v>3</v>
      </c>
      <c r="I582" s="108">
        <v>159</v>
      </c>
      <c r="J582" s="94">
        <f t="shared" si="123"/>
        <v>-190800</v>
      </c>
      <c r="K582" s="42"/>
      <c r="L582" s="86">
        <v>46166</v>
      </c>
    </row>
    <row r="583" spans="1:12" ht="16.5" x14ac:dyDescent="0.25">
      <c r="A583" s="214"/>
      <c r="B583" s="215" t="s">
        <v>20</v>
      </c>
      <c r="C583" s="216"/>
      <c r="D583" s="216"/>
      <c r="E583" s="216"/>
      <c r="F583" s="217"/>
      <c r="G583" s="111">
        <f>SUM(G576:G582)</f>
        <v>13200</v>
      </c>
      <c r="H583" s="108"/>
      <c r="I583" s="108"/>
      <c r="J583" s="69">
        <f>+SUBTOTAL(109,J576:J582)</f>
        <v>68926500</v>
      </c>
      <c r="K583" s="42"/>
      <c r="L583" s="86"/>
    </row>
    <row r="584" spans="1:12" ht="17.25" x14ac:dyDescent="0.25">
      <c r="A584" s="212">
        <v>4</v>
      </c>
      <c r="B584" s="103" t="s">
        <v>50</v>
      </c>
      <c r="C584" s="104" t="s">
        <v>49</v>
      </c>
      <c r="D584" s="105">
        <v>46138</v>
      </c>
      <c r="E584" s="105">
        <v>46167</v>
      </c>
      <c r="F584" s="106">
        <v>52747</v>
      </c>
      <c r="G584" s="107">
        <f>+F584</f>
        <v>52747</v>
      </c>
      <c r="H584" s="108">
        <f t="shared" ref="H584" si="124">E584-D584+1</f>
        <v>30</v>
      </c>
      <c r="I584" s="108">
        <v>185</v>
      </c>
      <c r="J584" s="94">
        <f>+I584*H584*G584</f>
        <v>292745850</v>
      </c>
      <c r="K584" s="42"/>
      <c r="L584" s="86"/>
    </row>
    <row r="585" spans="1:12" ht="17.25" x14ac:dyDescent="0.25">
      <c r="A585" s="213"/>
      <c r="B585" s="103" t="s">
        <v>50</v>
      </c>
      <c r="C585" s="104" t="s">
        <v>49</v>
      </c>
      <c r="D585" s="105">
        <v>46147</v>
      </c>
      <c r="E585" s="105">
        <v>46167</v>
      </c>
      <c r="F585" s="106"/>
      <c r="G585" s="107">
        <v>-600</v>
      </c>
      <c r="H585" s="108">
        <f t="shared" ref="H585:H596" si="125">E585-D585+1</f>
        <v>21</v>
      </c>
      <c r="I585" s="108">
        <v>185</v>
      </c>
      <c r="J585" s="94">
        <f t="shared" ref="J585:J596" si="126">+I585*H585*G585</f>
        <v>-2331000</v>
      </c>
      <c r="K585" s="42"/>
      <c r="L585" s="86">
        <v>46148</v>
      </c>
    </row>
    <row r="586" spans="1:12" ht="17.25" x14ac:dyDescent="0.25">
      <c r="A586" s="213"/>
      <c r="B586" s="103" t="s">
        <v>50</v>
      </c>
      <c r="C586" s="104" t="s">
        <v>49</v>
      </c>
      <c r="D586" s="105">
        <v>46150</v>
      </c>
      <c r="E586" s="105">
        <v>46167</v>
      </c>
      <c r="F586" s="106"/>
      <c r="G586" s="107">
        <v>-1800</v>
      </c>
      <c r="H586" s="108">
        <f t="shared" si="125"/>
        <v>18</v>
      </c>
      <c r="I586" s="108">
        <v>185</v>
      </c>
      <c r="J586" s="94">
        <f t="shared" si="126"/>
        <v>-5994000</v>
      </c>
      <c r="K586" s="42"/>
      <c r="L586" s="86">
        <v>46151</v>
      </c>
    </row>
    <row r="587" spans="1:12" ht="17.25" x14ac:dyDescent="0.25">
      <c r="A587" s="213"/>
      <c r="B587" s="103" t="s">
        <v>50</v>
      </c>
      <c r="C587" s="104" t="s">
        <v>49</v>
      </c>
      <c r="D587" s="105">
        <v>46153</v>
      </c>
      <c r="E587" s="105">
        <v>46167</v>
      </c>
      <c r="F587" s="106"/>
      <c r="G587" s="107">
        <v>-1300</v>
      </c>
      <c r="H587" s="108">
        <f t="shared" si="125"/>
        <v>15</v>
      </c>
      <c r="I587" s="108">
        <v>185</v>
      </c>
      <c r="J587" s="94">
        <f t="shared" si="126"/>
        <v>-3607500</v>
      </c>
      <c r="K587" s="42"/>
      <c r="L587" s="86">
        <v>46154</v>
      </c>
    </row>
    <row r="588" spans="1:12" ht="17.25" x14ac:dyDescent="0.25">
      <c r="A588" s="213"/>
      <c r="B588" s="103" t="s">
        <v>50</v>
      </c>
      <c r="C588" s="104" t="s">
        <v>49</v>
      </c>
      <c r="D588" s="105">
        <v>46155</v>
      </c>
      <c r="E588" s="105">
        <v>46167</v>
      </c>
      <c r="F588" s="106"/>
      <c r="G588" s="107">
        <v>-1400</v>
      </c>
      <c r="H588" s="108">
        <f t="shared" si="125"/>
        <v>13</v>
      </c>
      <c r="I588" s="108">
        <v>185</v>
      </c>
      <c r="J588" s="94">
        <f t="shared" si="126"/>
        <v>-3367000</v>
      </c>
      <c r="K588" s="42"/>
      <c r="L588" s="86">
        <v>46156</v>
      </c>
    </row>
    <row r="589" spans="1:12" ht="17.25" x14ac:dyDescent="0.25">
      <c r="A589" s="213"/>
      <c r="B589" s="103" t="s">
        <v>50</v>
      </c>
      <c r="C589" s="104" t="s">
        <v>49</v>
      </c>
      <c r="D589" s="105">
        <v>46157</v>
      </c>
      <c r="E589" s="105">
        <v>46167</v>
      </c>
      <c r="F589" s="106"/>
      <c r="G589" s="107">
        <v>-600</v>
      </c>
      <c r="H589" s="108">
        <f t="shared" si="125"/>
        <v>11</v>
      </c>
      <c r="I589" s="108">
        <v>185</v>
      </c>
      <c r="J589" s="94">
        <f t="shared" si="126"/>
        <v>-1221000</v>
      </c>
      <c r="K589" s="42"/>
      <c r="L589" s="86">
        <v>46158</v>
      </c>
    </row>
    <row r="590" spans="1:12" ht="17.25" x14ac:dyDescent="0.25">
      <c r="A590" s="213"/>
      <c r="B590" s="103" t="s">
        <v>50</v>
      </c>
      <c r="C590" s="104" t="s">
        <v>49</v>
      </c>
      <c r="D590" s="105">
        <v>46157</v>
      </c>
      <c r="E590" s="105">
        <v>46167</v>
      </c>
      <c r="F590" s="106"/>
      <c r="G590" s="107">
        <v>-200</v>
      </c>
      <c r="H590" s="108">
        <f t="shared" ref="H590" si="127">E590-D590+1</f>
        <v>11</v>
      </c>
      <c r="I590" s="108">
        <v>185</v>
      </c>
      <c r="J590" s="94">
        <f t="shared" ref="J590" si="128">+I590*H590*G590</f>
        <v>-407000</v>
      </c>
      <c r="K590" s="42" t="s">
        <v>285</v>
      </c>
      <c r="L590" s="86">
        <v>46158</v>
      </c>
    </row>
    <row r="591" spans="1:12" ht="17.25" x14ac:dyDescent="0.25">
      <c r="A591" s="213"/>
      <c r="B591" s="103" t="s">
        <v>50</v>
      </c>
      <c r="C591" s="104" t="s">
        <v>49</v>
      </c>
      <c r="D591" s="105">
        <v>46162</v>
      </c>
      <c r="E591" s="105">
        <v>46167</v>
      </c>
      <c r="F591" s="106"/>
      <c r="G591" s="107">
        <v>-1100</v>
      </c>
      <c r="H591" s="108">
        <f t="shared" si="125"/>
        <v>6</v>
      </c>
      <c r="I591" s="108">
        <v>185</v>
      </c>
      <c r="J591" s="94">
        <f t="shared" si="126"/>
        <v>-1221000</v>
      </c>
      <c r="K591" s="42"/>
      <c r="L591" s="86">
        <v>46163</v>
      </c>
    </row>
    <row r="592" spans="1:12" ht="17.25" x14ac:dyDescent="0.25">
      <c r="A592" s="213"/>
      <c r="B592" s="103" t="s">
        <v>50</v>
      </c>
      <c r="C592" s="104" t="s">
        <v>49</v>
      </c>
      <c r="D592" s="105">
        <v>46162</v>
      </c>
      <c r="E592" s="105">
        <v>46167</v>
      </c>
      <c r="F592" s="106"/>
      <c r="G592" s="107">
        <v>-300</v>
      </c>
      <c r="H592" s="108">
        <f t="shared" ref="H592" si="129">E592-D592+1</f>
        <v>6</v>
      </c>
      <c r="I592" s="108">
        <v>185</v>
      </c>
      <c r="J592" s="94">
        <f t="shared" ref="J592" si="130">+I592*H592*G592</f>
        <v>-333000</v>
      </c>
      <c r="K592" s="42" t="s">
        <v>285</v>
      </c>
      <c r="L592" s="86">
        <v>46163</v>
      </c>
    </row>
    <row r="593" spans="1:12" ht="17.25" x14ac:dyDescent="0.25">
      <c r="A593" s="213"/>
      <c r="B593" s="103" t="s">
        <v>50</v>
      </c>
      <c r="C593" s="104" t="s">
        <v>49</v>
      </c>
      <c r="D593" s="105">
        <v>46163</v>
      </c>
      <c r="E593" s="105">
        <v>46167</v>
      </c>
      <c r="F593" s="106"/>
      <c r="G593" s="107">
        <v>-800</v>
      </c>
      <c r="H593" s="108">
        <f t="shared" si="125"/>
        <v>5</v>
      </c>
      <c r="I593" s="108">
        <v>185</v>
      </c>
      <c r="J593" s="94">
        <f t="shared" si="126"/>
        <v>-740000</v>
      </c>
      <c r="K593" s="42"/>
      <c r="L593" s="86">
        <v>46164</v>
      </c>
    </row>
    <row r="594" spans="1:12" ht="17.25" x14ac:dyDescent="0.25">
      <c r="A594" s="213"/>
      <c r="B594" s="103" t="s">
        <v>50</v>
      </c>
      <c r="C594" s="104" t="s">
        <v>49</v>
      </c>
      <c r="D594" s="105">
        <v>46163</v>
      </c>
      <c r="E594" s="105">
        <v>46167</v>
      </c>
      <c r="F594" s="106"/>
      <c r="G594" s="107">
        <v>-500</v>
      </c>
      <c r="H594" s="108">
        <f t="shared" ref="H594" si="131">E594-D594+1</f>
        <v>5</v>
      </c>
      <c r="I594" s="108">
        <v>185</v>
      </c>
      <c r="J594" s="94">
        <f t="shared" ref="J594" si="132">+I594*H594*G594</f>
        <v>-462500</v>
      </c>
      <c r="K594" s="42" t="s">
        <v>285</v>
      </c>
      <c r="L594" s="86">
        <v>46164</v>
      </c>
    </row>
    <row r="595" spans="1:12" ht="17.25" x14ac:dyDescent="0.25">
      <c r="A595" s="213"/>
      <c r="B595" s="103" t="s">
        <v>50</v>
      </c>
      <c r="C595" s="104" t="s">
        <v>49</v>
      </c>
      <c r="D595" s="105">
        <v>46165</v>
      </c>
      <c r="E595" s="105">
        <v>46167</v>
      </c>
      <c r="F595" s="106"/>
      <c r="G595" s="107">
        <v>-700</v>
      </c>
      <c r="H595" s="108">
        <f t="shared" ref="H595" si="133">E595-D595+1</f>
        <v>3</v>
      </c>
      <c r="I595" s="108">
        <v>185</v>
      </c>
      <c r="J595" s="94">
        <f t="shared" ref="J595" si="134">+I595*H595*G595</f>
        <v>-388500</v>
      </c>
      <c r="K595" s="42" t="s">
        <v>285</v>
      </c>
      <c r="L595" s="86">
        <v>46166</v>
      </c>
    </row>
    <row r="596" spans="1:12" ht="17.25" x14ac:dyDescent="0.25">
      <c r="A596" s="213"/>
      <c r="B596" s="103" t="s">
        <v>50</v>
      </c>
      <c r="C596" s="104" t="s">
        <v>49</v>
      </c>
      <c r="D596" s="105">
        <v>46165</v>
      </c>
      <c r="E596" s="105">
        <v>46167</v>
      </c>
      <c r="F596" s="106"/>
      <c r="G596" s="107">
        <v>-700</v>
      </c>
      <c r="H596" s="108">
        <f t="shared" si="125"/>
        <v>3</v>
      </c>
      <c r="I596" s="108">
        <v>185</v>
      </c>
      <c r="J596" s="94">
        <f t="shared" si="126"/>
        <v>-388500</v>
      </c>
      <c r="K596" s="42"/>
      <c r="L596" s="86">
        <v>46166</v>
      </c>
    </row>
    <row r="597" spans="1:12" ht="16.5" x14ac:dyDescent="0.25">
      <c r="A597" s="214"/>
      <c r="B597" s="210" t="s">
        <v>20</v>
      </c>
      <c r="C597" s="210"/>
      <c r="D597" s="210"/>
      <c r="E597" s="210"/>
      <c r="F597" s="210"/>
      <c r="G597" s="111">
        <f>SUM(G584:G596)</f>
        <v>42747</v>
      </c>
      <c r="H597" s="108"/>
      <c r="I597" s="108"/>
      <c r="J597" s="69">
        <f>+SUBTOTAL(109,J584:J596)</f>
        <v>272284850</v>
      </c>
      <c r="K597" s="42"/>
      <c r="L597" s="86"/>
    </row>
    <row r="598" spans="1:12" ht="17.25" x14ac:dyDescent="0.25">
      <c r="A598" s="212">
        <v>5</v>
      </c>
      <c r="B598" s="103" t="s">
        <v>126</v>
      </c>
      <c r="C598" s="104" t="s">
        <v>24</v>
      </c>
      <c r="D598" s="105">
        <v>46138</v>
      </c>
      <c r="E598" s="105">
        <v>46167</v>
      </c>
      <c r="F598" s="106">
        <v>35500</v>
      </c>
      <c r="G598" s="107">
        <f>+F598</f>
        <v>35500</v>
      </c>
      <c r="H598" s="108">
        <f t="shared" ref="H598" si="135">E598-D598+1</f>
        <v>30</v>
      </c>
      <c r="I598" s="108">
        <v>43</v>
      </c>
      <c r="J598" s="94">
        <f>+I598*H598*G598</f>
        <v>45795000</v>
      </c>
      <c r="K598" s="42"/>
      <c r="L598" s="86"/>
    </row>
    <row r="599" spans="1:12" ht="16.5" x14ac:dyDescent="0.25">
      <c r="A599" s="214"/>
      <c r="B599" s="215" t="s">
        <v>20</v>
      </c>
      <c r="C599" s="216"/>
      <c r="D599" s="216"/>
      <c r="E599" s="216"/>
      <c r="F599" s="217"/>
      <c r="G599" s="111">
        <f>SUM(G598:G598)</f>
        <v>35500</v>
      </c>
      <c r="H599" s="108"/>
      <c r="I599" s="108"/>
      <c r="J599" s="69">
        <f>+SUBTOTAL(109,J598:J598)</f>
        <v>45795000</v>
      </c>
      <c r="K599" s="42"/>
      <c r="L599" s="86"/>
    </row>
    <row r="600" spans="1:12" ht="17.25" x14ac:dyDescent="0.25">
      <c r="A600" s="212">
        <v>6</v>
      </c>
      <c r="B600" s="103" t="s">
        <v>149</v>
      </c>
      <c r="C600" s="104" t="s">
        <v>24</v>
      </c>
      <c r="D600" s="105">
        <v>46138</v>
      </c>
      <c r="E600" s="105">
        <v>46167</v>
      </c>
      <c r="F600" s="106">
        <v>23840</v>
      </c>
      <c r="G600" s="107">
        <f>+F600</f>
        <v>23840</v>
      </c>
      <c r="H600" s="108">
        <f t="shared" ref="H600" si="136">E600-D600+1</f>
        <v>30</v>
      </c>
      <c r="I600" s="108">
        <v>55</v>
      </c>
      <c r="J600" s="94">
        <f>+I600*H600*G600</f>
        <v>39336000</v>
      </c>
      <c r="K600" s="42"/>
      <c r="L600" s="86"/>
    </row>
    <row r="601" spans="1:12" ht="17.25" x14ac:dyDescent="0.25">
      <c r="A601" s="213"/>
      <c r="B601" s="103" t="s">
        <v>149</v>
      </c>
      <c r="C601" s="104" t="s">
        <v>24</v>
      </c>
      <c r="D601" s="109">
        <v>46159</v>
      </c>
      <c r="E601" s="105">
        <v>46167</v>
      </c>
      <c r="F601" s="110"/>
      <c r="G601" s="107">
        <v>-6</v>
      </c>
      <c r="H601" s="108">
        <f t="shared" ref="H601" si="137">E601-D601+1</f>
        <v>9</v>
      </c>
      <c r="I601" s="108">
        <v>55</v>
      </c>
      <c r="J601" s="94">
        <f>+I601*H601*G601</f>
        <v>-2970</v>
      </c>
      <c r="K601" s="42"/>
      <c r="L601" s="86">
        <v>46160</v>
      </c>
    </row>
    <row r="602" spans="1:12" ht="16.5" x14ac:dyDescent="0.25">
      <c r="A602" s="214"/>
      <c r="B602" s="215" t="s">
        <v>20</v>
      </c>
      <c r="C602" s="216"/>
      <c r="D602" s="216"/>
      <c r="E602" s="216"/>
      <c r="F602" s="217"/>
      <c r="G602" s="111">
        <f>SUM(G600:G601)</f>
        <v>23834</v>
      </c>
      <c r="H602" s="108"/>
      <c r="I602" s="108"/>
      <c r="J602" s="69">
        <f>+SUBTOTAL(109,J600:J601)</f>
        <v>39333030</v>
      </c>
      <c r="K602" s="42"/>
      <c r="L602" s="86"/>
    </row>
    <row r="603" spans="1:12" ht="17.25" x14ac:dyDescent="0.25">
      <c r="A603" s="212">
        <v>7</v>
      </c>
      <c r="B603" s="103" t="s">
        <v>0</v>
      </c>
      <c r="C603" s="104" t="s">
        <v>24</v>
      </c>
      <c r="D603" s="105">
        <v>46138</v>
      </c>
      <c r="E603" s="105">
        <v>46167</v>
      </c>
      <c r="F603" s="106">
        <v>238505</v>
      </c>
      <c r="G603" s="107">
        <f>+F603</f>
        <v>238505</v>
      </c>
      <c r="H603" s="108">
        <f t="shared" ref="H603" si="138">E603-D603+1</f>
        <v>30</v>
      </c>
      <c r="I603" s="108">
        <v>71</v>
      </c>
      <c r="J603" s="94">
        <f t="shared" ref="J603" si="139">+I603*H603*G603</f>
        <v>508015650</v>
      </c>
      <c r="K603" s="42"/>
      <c r="L603" s="86"/>
    </row>
    <row r="604" spans="1:12" ht="17.25" x14ac:dyDescent="0.25">
      <c r="A604" s="213"/>
      <c r="B604" s="103" t="s">
        <v>0</v>
      </c>
      <c r="C604" s="104" t="s">
        <v>24</v>
      </c>
      <c r="D604" s="109">
        <v>46147</v>
      </c>
      <c r="E604" s="105">
        <v>46167</v>
      </c>
      <c r="F604" s="110"/>
      <c r="G604" s="107">
        <v>-2730</v>
      </c>
      <c r="H604" s="108">
        <f t="shared" ref="H604:H612" si="140">E604-D604+1</f>
        <v>21</v>
      </c>
      <c r="I604" s="108">
        <v>71</v>
      </c>
      <c r="J604" s="94">
        <f t="shared" ref="J604:J612" si="141">+I604*H604*G604</f>
        <v>-4070430</v>
      </c>
      <c r="K604" s="42"/>
      <c r="L604" s="86">
        <v>46148</v>
      </c>
    </row>
    <row r="605" spans="1:12" ht="17.25" x14ac:dyDescent="0.25">
      <c r="A605" s="213"/>
      <c r="B605" s="103" t="s">
        <v>0</v>
      </c>
      <c r="C605" s="104" t="s">
        <v>24</v>
      </c>
      <c r="D605" s="109">
        <v>46150</v>
      </c>
      <c r="E605" s="105">
        <v>46167</v>
      </c>
      <c r="F605" s="110"/>
      <c r="G605" s="107">
        <v>-2730</v>
      </c>
      <c r="H605" s="108">
        <f t="shared" si="140"/>
        <v>18</v>
      </c>
      <c r="I605" s="108">
        <v>71</v>
      </c>
      <c r="J605" s="94">
        <f t="shared" si="141"/>
        <v>-3488940</v>
      </c>
      <c r="K605" s="42"/>
      <c r="L605" s="86">
        <v>46151</v>
      </c>
    </row>
    <row r="606" spans="1:12" ht="17.25" x14ac:dyDescent="0.25">
      <c r="A606" s="213"/>
      <c r="B606" s="103" t="s">
        <v>0</v>
      </c>
      <c r="C606" s="104" t="s">
        <v>24</v>
      </c>
      <c r="D606" s="109">
        <v>46153</v>
      </c>
      <c r="E606" s="105">
        <v>46167</v>
      </c>
      <c r="F606" s="110"/>
      <c r="G606" s="107">
        <v>-2772</v>
      </c>
      <c r="H606" s="108">
        <f t="shared" si="140"/>
        <v>15</v>
      </c>
      <c r="I606" s="108">
        <v>71</v>
      </c>
      <c r="J606" s="94">
        <f t="shared" si="141"/>
        <v>-2952180</v>
      </c>
      <c r="K606" s="42"/>
      <c r="L606" s="86">
        <v>46154</v>
      </c>
    </row>
    <row r="607" spans="1:12" ht="17.25" x14ac:dyDescent="0.25">
      <c r="A607" s="213"/>
      <c r="B607" s="103" t="s">
        <v>0</v>
      </c>
      <c r="C607" s="104" t="s">
        <v>24</v>
      </c>
      <c r="D607" s="109">
        <v>46155</v>
      </c>
      <c r="E607" s="105">
        <v>46167</v>
      </c>
      <c r="F607" s="110"/>
      <c r="G607" s="107">
        <v>-3696</v>
      </c>
      <c r="H607" s="108">
        <f t="shared" si="140"/>
        <v>13</v>
      </c>
      <c r="I607" s="108">
        <v>71</v>
      </c>
      <c r="J607" s="94">
        <f t="shared" si="141"/>
        <v>-3411408</v>
      </c>
      <c r="K607" s="42"/>
      <c r="L607" s="86">
        <v>46156</v>
      </c>
    </row>
    <row r="608" spans="1:12" ht="17.25" x14ac:dyDescent="0.25">
      <c r="A608" s="213"/>
      <c r="B608" s="103" t="s">
        <v>0</v>
      </c>
      <c r="C608" s="104" t="s">
        <v>24</v>
      </c>
      <c r="D608" s="109">
        <v>46157</v>
      </c>
      <c r="E608" s="105">
        <v>46167</v>
      </c>
      <c r="F608" s="110"/>
      <c r="G608" s="107">
        <v>-5544</v>
      </c>
      <c r="H608" s="108">
        <f t="shared" si="140"/>
        <v>11</v>
      </c>
      <c r="I608" s="108">
        <v>71</v>
      </c>
      <c r="J608" s="94">
        <f t="shared" si="141"/>
        <v>-4329864</v>
      </c>
      <c r="K608" s="42"/>
      <c r="L608" s="86">
        <v>46158</v>
      </c>
    </row>
    <row r="609" spans="1:12" ht="17.25" x14ac:dyDescent="0.25">
      <c r="A609" s="213"/>
      <c r="B609" s="103" t="s">
        <v>0</v>
      </c>
      <c r="C609" s="104" t="s">
        <v>24</v>
      </c>
      <c r="D609" s="109">
        <v>46159</v>
      </c>
      <c r="E609" s="105">
        <v>46167</v>
      </c>
      <c r="F609" s="110"/>
      <c r="G609" s="107">
        <v>-818</v>
      </c>
      <c r="H609" s="108">
        <f t="shared" si="140"/>
        <v>9</v>
      </c>
      <c r="I609" s="108">
        <v>71</v>
      </c>
      <c r="J609" s="94">
        <f t="shared" si="141"/>
        <v>-522702</v>
      </c>
      <c r="K609" s="42"/>
      <c r="L609" s="86">
        <v>46160</v>
      </c>
    </row>
    <row r="610" spans="1:12" ht="17.25" x14ac:dyDescent="0.25">
      <c r="A610" s="213"/>
      <c r="B610" s="103" t="s">
        <v>0</v>
      </c>
      <c r="C610" s="104" t="s">
        <v>24</v>
      </c>
      <c r="D610" s="109">
        <v>46162</v>
      </c>
      <c r="E610" s="105">
        <v>46167</v>
      </c>
      <c r="F610" s="110"/>
      <c r="G610" s="107">
        <v>-2772</v>
      </c>
      <c r="H610" s="108">
        <f t="shared" si="140"/>
        <v>6</v>
      </c>
      <c r="I610" s="108">
        <v>71</v>
      </c>
      <c r="J610" s="94">
        <f t="shared" si="141"/>
        <v>-1180872</v>
      </c>
      <c r="K610" s="42"/>
      <c r="L610" s="86">
        <v>46163</v>
      </c>
    </row>
    <row r="611" spans="1:12" ht="17.25" x14ac:dyDescent="0.25">
      <c r="A611" s="213"/>
      <c r="B611" s="103" t="s">
        <v>0</v>
      </c>
      <c r="C611" s="104" t="s">
        <v>24</v>
      </c>
      <c r="D611" s="109">
        <v>46163</v>
      </c>
      <c r="E611" s="105">
        <v>46167</v>
      </c>
      <c r="F611" s="110"/>
      <c r="G611" s="107">
        <v>-2772</v>
      </c>
      <c r="H611" s="108">
        <f t="shared" si="140"/>
        <v>5</v>
      </c>
      <c r="I611" s="108">
        <v>71</v>
      </c>
      <c r="J611" s="94">
        <f t="shared" si="141"/>
        <v>-984060</v>
      </c>
      <c r="K611" s="42"/>
      <c r="L611" s="86">
        <v>46164</v>
      </c>
    </row>
    <row r="612" spans="1:12" ht="17.25" x14ac:dyDescent="0.25">
      <c r="A612" s="213"/>
      <c r="B612" s="103" t="s">
        <v>0</v>
      </c>
      <c r="C612" s="104" t="s">
        <v>24</v>
      </c>
      <c r="D612" s="109">
        <v>46165</v>
      </c>
      <c r="E612" s="105">
        <v>46167</v>
      </c>
      <c r="F612" s="110"/>
      <c r="G612" s="107">
        <v>-2772</v>
      </c>
      <c r="H612" s="108">
        <f t="shared" si="140"/>
        <v>3</v>
      </c>
      <c r="I612" s="108">
        <v>71</v>
      </c>
      <c r="J612" s="94">
        <f t="shared" si="141"/>
        <v>-590436</v>
      </c>
      <c r="K612" s="42"/>
      <c r="L612" s="86">
        <v>46166</v>
      </c>
    </row>
    <row r="613" spans="1:12" ht="16.5" x14ac:dyDescent="0.25">
      <c r="A613" s="214"/>
      <c r="B613" s="215" t="s">
        <v>20</v>
      </c>
      <c r="C613" s="216"/>
      <c r="D613" s="216"/>
      <c r="E613" s="216"/>
      <c r="F613" s="217"/>
      <c r="G613" s="111">
        <f>SUM(G603:G612)</f>
        <v>211899</v>
      </c>
      <c r="H613" s="108"/>
      <c r="I613" s="108"/>
      <c r="J613" s="69">
        <f>+SUBTOTAL(109,J603:J612)</f>
        <v>486484758</v>
      </c>
      <c r="K613" s="42"/>
      <c r="L613" s="86"/>
    </row>
    <row r="614" spans="1:12" ht="16.5" x14ac:dyDescent="0.25">
      <c r="A614" s="212">
        <v>8</v>
      </c>
      <c r="B614" s="103" t="s">
        <v>150</v>
      </c>
      <c r="C614" s="104" t="s">
        <v>24</v>
      </c>
      <c r="D614" s="105">
        <v>46138</v>
      </c>
      <c r="E614" s="105">
        <v>46167</v>
      </c>
      <c r="F614" s="111">
        <v>33150</v>
      </c>
      <c r="G614" s="112">
        <f>+F614</f>
        <v>33150</v>
      </c>
      <c r="H614" s="108">
        <f t="shared" ref="H614" si="142">E614-D614+1</f>
        <v>30</v>
      </c>
      <c r="I614" s="113">
        <v>70</v>
      </c>
      <c r="J614" s="94">
        <f>+I614*H614*G614</f>
        <v>69615000</v>
      </c>
      <c r="K614" s="42"/>
      <c r="L614" s="86"/>
    </row>
    <row r="615" spans="1:12" ht="16.5" x14ac:dyDescent="0.25">
      <c r="A615" s="214"/>
      <c r="B615" s="215" t="s">
        <v>20</v>
      </c>
      <c r="C615" s="216"/>
      <c r="D615" s="216"/>
      <c r="E615" s="216"/>
      <c r="F615" s="217"/>
      <c r="G615" s="111">
        <f>SUM(G614:G614)</f>
        <v>33150</v>
      </c>
      <c r="H615" s="108"/>
      <c r="I615" s="108"/>
      <c r="J615" s="69">
        <f>+SUBTOTAL(109,J614:J614)</f>
        <v>69615000</v>
      </c>
      <c r="K615" s="42"/>
      <c r="L615" s="86"/>
    </row>
    <row r="616" spans="1:12" ht="17.25" x14ac:dyDescent="0.25">
      <c r="A616" s="212">
        <v>9</v>
      </c>
      <c r="B616" s="103" t="s">
        <v>151</v>
      </c>
      <c r="C616" s="104" t="s">
        <v>24</v>
      </c>
      <c r="D616" s="105">
        <v>46138</v>
      </c>
      <c r="E616" s="105">
        <v>46167</v>
      </c>
      <c r="F616" s="106">
        <v>31850</v>
      </c>
      <c r="G616" s="107">
        <f>+F616</f>
        <v>31850</v>
      </c>
      <c r="H616" s="108">
        <f t="shared" ref="H616" si="143">E616-D616+1</f>
        <v>30</v>
      </c>
      <c r="I616" s="108">
        <v>70</v>
      </c>
      <c r="J616" s="94">
        <f>+I616*H616*G616</f>
        <v>66885000</v>
      </c>
      <c r="K616" s="42"/>
      <c r="L616" s="86"/>
    </row>
    <row r="617" spans="1:12" ht="16.5" x14ac:dyDescent="0.25">
      <c r="A617" s="214"/>
      <c r="B617" s="215" t="s">
        <v>20</v>
      </c>
      <c r="C617" s="216"/>
      <c r="D617" s="216"/>
      <c r="E617" s="216"/>
      <c r="F617" s="217"/>
      <c r="G617" s="111">
        <f>SUM(G616:G616)</f>
        <v>31850</v>
      </c>
      <c r="H617" s="108"/>
      <c r="I617" s="108"/>
      <c r="J617" s="69">
        <f>+SUBTOTAL(109,J616:J616)</f>
        <v>66885000</v>
      </c>
      <c r="K617" s="42"/>
      <c r="L617" s="86"/>
    </row>
    <row r="618" spans="1:12" ht="17.25" x14ac:dyDescent="0.25">
      <c r="A618" s="212">
        <v>10</v>
      </c>
      <c r="B618" s="103" t="s">
        <v>171</v>
      </c>
      <c r="C618" s="104" t="s">
        <v>24</v>
      </c>
      <c r="D618" s="105">
        <v>46138</v>
      </c>
      <c r="E618" s="105">
        <v>46167</v>
      </c>
      <c r="F618" s="106">
        <v>1000</v>
      </c>
      <c r="G618" s="107">
        <f>+F618</f>
        <v>1000</v>
      </c>
      <c r="H618" s="108">
        <f t="shared" ref="H618" si="144">E618-D618+1</f>
        <v>30</v>
      </c>
      <c r="I618" s="108">
        <v>45</v>
      </c>
      <c r="J618" s="94">
        <f>+I618*H618*G618</f>
        <v>1350000</v>
      </c>
      <c r="K618" s="42"/>
      <c r="L618" s="86"/>
    </row>
    <row r="619" spans="1:12" ht="16.5" x14ac:dyDescent="0.25">
      <c r="A619" s="214"/>
      <c r="B619" s="215" t="s">
        <v>20</v>
      </c>
      <c r="C619" s="216"/>
      <c r="D619" s="216"/>
      <c r="E619" s="216"/>
      <c r="F619" s="217"/>
      <c r="G619" s="111">
        <f>SUM(G618:G618)</f>
        <v>1000</v>
      </c>
      <c r="H619" s="114"/>
      <c r="I619" s="108"/>
      <c r="J619" s="69">
        <f>+SUBTOTAL(109,J618:J618)</f>
        <v>1350000</v>
      </c>
      <c r="K619" s="42"/>
      <c r="L619" s="86"/>
    </row>
    <row r="620" spans="1:12" ht="16.5" x14ac:dyDescent="0.25">
      <c r="A620" s="115" t="str">
        <f>ROMAN(2,0)</f>
        <v>II</v>
      </c>
      <c r="B620" s="116" t="s">
        <v>56</v>
      </c>
      <c r="C620" s="115"/>
      <c r="D620" s="115"/>
      <c r="E620" s="115"/>
      <c r="F620" s="115"/>
      <c r="G620" s="111"/>
      <c r="H620" s="114"/>
      <c r="I620" s="114"/>
      <c r="J620" s="87"/>
      <c r="K620" s="97"/>
      <c r="L620" s="86"/>
    </row>
    <row r="621" spans="1:12" ht="16.5" x14ac:dyDescent="0.25">
      <c r="A621" s="104">
        <v>1</v>
      </c>
      <c r="B621" s="19" t="s">
        <v>58</v>
      </c>
      <c r="C621" s="104" t="s">
        <v>57</v>
      </c>
      <c r="D621" s="104"/>
      <c r="E621" s="115"/>
      <c r="F621" s="117">
        <v>65</v>
      </c>
      <c r="G621" s="117">
        <v>8</v>
      </c>
      <c r="H621" s="108"/>
      <c r="I621" s="118">
        <v>5000000</v>
      </c>
      <c r="J621" s="220" t="s">
        <v>129</v>
      </c>
      <c r="K621" s="221"/>
      <c r="L621" s="86"/>
    </row>
    <row r="622" spans="1:12" ht="16.5" x14ac:dyDescent="0.25">
      <c r="A622" s="104">
        <v>2</v>
      </c>
      <c r="B622" s="19" t="s">
        <v>73</v>
      </c>
      <c r="C622" s="104" t="s">
        <v>57</v>
      </c>
      <c r="D622" s="104"/>
      <c r="E622" s="115"/>
      <c r="F622" s="117">
        <v>1</v>
      </c>
      <c r="G622" s="117"/>
      <c r="H622" s="114"/>
      <c r="I622" s="118">
        <v>4500000</v>
      </c>
      <c r="J622" s="222"/>
      <c r="K622" s="223"/>
      <c r="L622" s="86"/>
    </row>
    <row r="623" spans="1:12" ht="16.5" x14ac:dyDescent="0.25">
      <c r="A623" s="210" t="s">
        <v>288</v>
      </c>
      <c r="B623" s="210"/>
      <c r="C623" s="210"/>
      <c r="D623" s="210"/>
      <c r="E623" s="210"/>
      <c r="F623" s="210"/>
      <c r="G623" s="210"/>
      <c r="H623" s="210"/>
      <c r="I623" s="210"/>
      <c r="J623" s="69">
        <f>SUBTOTAL(9,J559:J622)</f>
        <v>1226896083</v>
      </c>
      <c r="K623" s="98"/>
      <c r="L623" s="86"/>
    </row>
    <row r="624" spans="1:12" ht="16.5" x14ac:dyDescent="0.25">
      <c r="A624" s="211" t="s">
        <v>54</v>
      </c>
      <c r="B624" s="211"/>
      <c r="C624" s="211"/>
      <c r="D624" s="211"/>
      <c r="E624" s="211"/>
      <c r="F624" s="211"/>
      <c r="G624" s="211"/>
      <c r="H624" s="211"/>
      <c r="I624" s="211"/>
      <c r="J624" s="89">
        <f>ROUND(J623*8%,0)</f>
        <v>98151687</v>
      </c>
      <c r="K624" s="59"/>
      <c r="L624" s="86"/>
    </row>
    <row r="625" spans="1:12" ht="16.5" x14ac:dyDescent="0.25">
      <c r="A625" s="211" t="s">
        <v>27</v>
      </c>
      <c r="B625" s="211"/>
      <c r="C625" s="211"/>
      <c r="D625" s="211"/>
      <c r="E625" s="211"/>
      <c r="F625" s="211"/>
      <c r="G625" s="211"/>
      <c r="H625" s="211"/>
      <c r="I625" s="211"/>
      <c r="J625" s="69">
        <f>+J623+J624</f>
        <v>1325047770</v>
      </c>
      <c r="K625" s="59"/>
      <c r="L625" s="86"/>
    </row>
    <row r="626" spans="1:12" ht="16.5" x14ac:dyDescent="0.25">
      <c r="A626" s="99" t="s">
        <v>123</v>
      </c>
      <c r="B626" s="100" t="s">
        <v>286</v>
      </c>
      <c r="C626" s="40"/>
      <c r="D626" s="40"/>
      <c r="E626" s="40"/>
      <c r="F626" s="40"/>
      <c r="G626" s="40"/>
      <c r="H626" s="40"/>
      <c r="I626" s="40"/>
      <c r="J626" s="90"/>
      <c r="K626" s="40"/>
      <c r="L626" s="86"/>
    </row>
    <row r="627" spans="1:12" ht="16.5" x14ac:dyDescent="0.25">
      <c r="A627" s="5" t="s">
        <v>60</v>
      </c>
      <c r="B627" s="5"/>
      <c r="C627" s="30"/>
      <c r="D627" s="30"/>
      <c r="E627" s="30"/>
      <c r="F627" s="5"/>
      <c r="G627" s="5"/>
      <c r="H627" s="5"/>
      <c r="I627" s="5"/>
      <c r="J627" s="5"/>
      <c r="K627" s="102"/>
      <c r="L627" s="86"/>
    </row>
    <row r="628" spans="1:12" ht="15.75" x14ac:dyDescent="0.25">
      <c r="A628" s="197" t="s">
        <v>21</v>
      </c>
      <c r="B628" s="197"/>
      <c r="C628" s="197"/>
      <c r="D628" s="197"/>
      <c r="E628" s="197" t="s">
        <v>22</v>
      </c>
      <c r="F628" s="197"/>
      <c r="G628" s="197"/>
      <c r="H628" s="197"/>
      <c r="I628" s="197"/>
      <c r="J628" s="197"/>
      <c r="K628" s="197"/>
      <c r="L628" s="86"/>
    </row>
    <row r="633" spans="1:12" ht="15.75" x14ac:dyDescent="0.25">
      <c r="A633" s="197" t="s">
        <v>1</v>
      </c>
      <c r="B633" s="197"/>
      <c r="C633" s="197"/>
      <c r="D633" s="197"/>
      <c r="E633" s="197"/>
      <c r="F633" s="197"/>
      <c r="G633" s="197"/>
      <c r="H633" s="197"/>
      <c r="I633" s="197"/>
      <c r="J633" s="197"/>
      <c r="K633" s="197"/>
    </row>
    <row r="634" spans="1:12" ht="15.75" x14ac:dyDescent="0.25">
      <c r="A634" s="197" t="s">
        <v>2</v>
      </c>
      <c r="B634" s="197"/>
      <c r="C634" s="197"/>
      <c r="D634" s="197"/>
      <c r="E634" s="197"/>
      <c r="F634" s="197"/>
      <c r="G634" s="197"/>
      <c r="H634" s="197"/>
      <c r="I634" s="197"/>
      <c r="J634" s="197"/>
      <c r="K634" s="197"/>
    </row>
    <row r="635" spans="1:12" x14ac:dyDescent="0.25">
      <c r="A635" s="18"/>
      <c r="B635" s="18"/>
      <c r="C635" s="18"/>
      <c r="D635" s="18"/>
      <c r="E635" s="18"/>
      <c r="F635" s="18"/>
      <c r="G635" s="18"/>
      <c r="H635" s="18"/>
      <c r="I635" s="18"/>
      <c r="J635" s="18"/>
      <c r="K635" s="18"/>
    </row>
    <row r="636" spans="1:12" ht="20.25" x14ac:dyDescent="0.25">
      <c r="A636" s="204" t="s">
        <v>29</v>
      </c>
      <c r="B636" s="204"/>
      <c r="C636" s="204"/>
      <c r="D636" s="204"/>
      <c r="E636" s="204"/>
      <c r="F636" s="204"/>
      <c r="G636" s="204"/>
      <c r="H636" s="204"/>
      <c r="I636" s="204"/>
      <c r="J636" s="204"/>
      <c r="K636" s="204"/>
    </row>
    <row r="637" spans="1:12" ht="15.75" x14ac:dyDescent="0.25">
      <c r="A637" s="197" t="s">
        <v>292</v>
      </c>
      <c r="B637" s="197"/>
      <c r="C637" s="197"/>
      <c r="D637" s="197"/>
      <c r="E637" s="197"/>
      <c r="F637" s="197"/>
      <c r="G637" s="197"/>
      <c r="H637" s="197"/>
      <c r="I637" s="197"/>
      <c r="J637" s="197"/>
      <c r="K637" s="197"/>
    </row>
    <row r="638" spans="1:12" ht="15.75" x14ac:dyDescent="0.25">
      <c r="A638" s="123"/>
      <c r="B638" s="123"/>
      <c r="C638" s="123"/>
      <c r="D638" s="123"/>
      <c r="E638" s="123"/>
      <c r="F638" s="123"/>
      <c r="G638" s="123"/>
      <c r="H638" s="123"/>
      <c r="I638" s="123"/>
      <c r="J638" s="123"/>
      <c r="K638" s="123"/>
    </row>
    <row r="639" spans="1:12" ht="36" customHeight="1" x14ac:dyDescent="0.25">
      <c r="A639" s="219" t="str">
        <f>ĐCCN!$A$7</f>
        <v>- Căn cứ Hợp đồng kinh tế số 0412/HĐKT2025/TP-VIETPANEL ký ngày 04/12/2025 giữa Công ty TNHH xây dựng Việt Panel và Công ty Cổ phần Tập đoàn Thiết bị xây dựng TP về việc cho thuê thiết bị xây dựng.</v>
      </c>
      <c r="B639" s="219"/>
      <c r="C639" s="219"/>
      <c r="D639" s="219"/>
      <c r="E639" s="219"/>
      <c r="F639" s="219"/>
      <c r="G639" s="219"/>
      <c r="H639" s="219"/>
      <c r="I639" s="219"/>
      <c r="J639" s="219"/>
      <c r="K639" s="219"/>
    </row>
    <row r="640" spans="1:12" ht="16.5" x14ac:dyDescent="0.25">
      <c r="A640" s="6" t="s">
        <v>51</v>
      </c>
      <c r="B640" s="5" t="s">
        <v>144</v>
      </c>
      <c r="C640" s="30"/>
      <c r="D640" s="30"/>
      <c r="E640" s="30"/>
      <c r="F640" s="5"/>
      <c r="G640" s="5"/>
      <c r="H640" s="5"/>
      <c r="I640" s="5"/>
      <c r="J640" s="5"/>
      <c r="K640" s="30"/>
    </row>
    <row r="641" spans="1:11" ht="16.5" x14ac:dyDescent="0.25">
      <c r="A641" s="6" t="s">
        <v>59</v>
      </c>
      <c r="B641" s="6" t="s">
        <v>145</v>
      </c>
      <c r="C641" s="30"/>
      <c r="D641" s="30"/>
      <c r="E641" s="30"/>
      <c r="F641" s="5"/>
      <c r="G641" s="5"/>
      <c r="H641" s="5"/>
      <c r="I641" s="5"/>
      <c r="J641" s="5"/>
      <c r="K641" s="30"/>
    </row>
    <row r="642" spans="1:11" ht="16.5" x14ac:dyDescent="0.25">
      <c r="A642" s="6" t="s">
        <v>294</v>
      </c>
      <c r="B642" s="5"/>
      <c r="C642" s="30"/>
      <c r="D642" s="30"/>
      <c r="E642" s="30"/>
      <c r="F642" s="5"/>
      <c r="G642" s="5"/>
      <c r="H642" s="5"/>
      <c r="I642" s="5"/>
      <c r="J642" s="5"/>
      <c r="K642" s="30"/>
    </row>
    <row r="643" spans="1:11" ht="16.5" x14ac:dyDescent="0.25">
      <c r="A643" s="5" t="s">
        <v>172</v>
      </c>
      <c r="B643" s="5"/>
      <c r="C643" s="30"/>
      <c r="D643" s="30"/>
      <c r="E643" s="30"/>
      <c r="F643" s="5"/>
      <c r="G643" s="5"/>
      <c r="H643" s="5"/>
      <c r="I643" s="5"/>
      <c r="J643" s="5"/>
      <c r="K643" s="30"/>
    </row>
    <row r="644" spans="1:11" ht="16.5" x14ac:dyDescent="0.25">
      <c r="A644" s="7" t="str">
        <f>$A$12</f>
        <v>BÊN THUÊ (BÊN A): CÔNG TY TNHH XÂY DỰNG VIỆT PANEL</v>
      </c>
      <c r="B644" s="7"/>
      <c r="C644" s="132"/>
      <c r="D644" s="132"/>
      <c r="E644" s="132"/>
      <c r="F644" s="7"/>
      <c r="G644" s="7"/>
      <c r="H644" s="7"/>
      <c r="I644" s="7"/>
      <c r="J644" s="7"/>
      <c r="K644" s="132"/>
    </row>
    <row r="645" spans="1:11" ht="16.5" x14ac:dyDescent="0.25">
      <c r="A645" s="5" t="s">
        <v>125</v>
      </c>
      <c r="B645" s="5" t="str">
        <f>ĐCCN!$C$9</f>
        <v>Thôn Đông Phù, Xã Tiên Du, Tỉnh Bắc Ninh, Việt Nam</v>
      </c>
      <c r="C645" s="30"/>
      <c r="D645" s="30"/>
      <c r="E645" s="30"/>
      <c r="F645" s="5"/>
      <c r="G645" s="5"/>
      <c r="H645" s="5"/>
      <c r="I645" s="5"/>
      <c r="J645" s="5"/>
      <c r="K645" s="30"/>
    </row>
    <row r="646" spans="1:11" ht="16.5" x14ac:dyDescent="0.25">
      <c r="A646" s="5" t="s">
        <v>5</v>
      </c>
      <c r="B646" s="5"/>
      <c r="C646" s="198" t="str">
        <f>ĐCCN!$C$10</f>
        <v>0222 6535 699</v>
      </c>
      <c r="D646" s="208"/>
      <c r="E646" s="5"/>
      <c r="F646" s="5"/>
      <c r="G646" s="5"/>
      <c r="H646" s="5"/>
      <c r="I646" s="5"/>
      <c r="J646" s="5"/>
      <c r="K646" s="30"/>
    </row>
    <row r="647" spans="1:11" ht="16.5" x14ac:dyDescent="0.25">
      <c r="A647" s="5" t="s">
        <v>4</v>
      </c>
      <c r="B647" s="5"/>
      <c r="C647" s="209">
        <f>ĐCCN!$C$11</f>
        <v>616139999</v>
      </c>
      <c r="D647" s="209"/>
      <c r="E647" s="127" t="str">
        <f>ĐCCN!$E$11</f>
        <v>Tại MB Ngân hàng quân đội</v>
      </c>
      <c r="F647" s="5"/>
      <c r="G647" s="5"/>
      <c r="H647" s="5"/>
      <c r="I647" s="5"/>
      <c r="J647" s="5"/>
      <c r="K647" s="30"/>
    </row>
    <row r="648" spans="1:11" ht="16.5" x14ac:dyDescent="0.25">
      <c r="A648" s="5" t="s">
        <v>6</v>
      </c>
      <c r="B648" s="6"/>
      <c r="C648" s="198" t="str">
        <f>ĐCCN!$C$12</f>
        <v>2300856941</v>
      </c>
      <c r="D648" s="198"/>
      <c r="E648" s="6"/>
      <c r="F648" s="6"/>
      <c r="G648" s="5"/>
      <c r="H648" s="5"/>
      <c r="I648" s="5"/>
      <c r="J648" s="5"/>
      <c r="K648" s="30"/>
    </row>
    <row r="649" spans="1:11" ht="16.5" x14ac:dyDescent="0.25">
      <c r="A649" s="5" t="s">
        <v>7</v>
      </c>
      <c r="B649" s="5"/>
      <c r="C649" s="7" t="str">
        <f>ĐCCN!$C$13</f>
        <v>Ông Lưu Đình Cải</v>
      </c>
      <c r="D649" s="132"/>
      <c r="E649" s="5" t="str">
        <f>ĐCCN!$E$13</f>
        <v>Chức vụ: Giám đốc</v>
      </c>
      <c r="F649" s="5"/>
      <c r="G649" s="5"/>
      <c r="H649" s="5"/>
      <c r="I649" s="5"/>
      <c r="J649" s="5"/>
      <c r="K649" s="30"/>
    </row>
    <row r="650" spans="1:11" ht="16.5" x14ac:dyDescent="0.25">
      <c r="A650" s="5"/>
      <c r="B650" s="5"/>
      <c r="C650" s="30"/>
      <c r="D650" s="30"/>
      <c r="E650" s="30"/>
      <c r="F650" s="5"/>
      <c r="G650" s="5"/>
      <c r="H650" s="5"/>
      <c r="I650" s="5"/>
      <c r="J650" s="5"/>
      <c r="K650" s="30"/>
    </row>
    <row r="651" spans="1:11" ht="16.5" x14ac:dyDescent="0.25">
      <c r="A651" s="7" t="s">
        <v>8</v>
      </c>
      <c r="B651" s="7"/>
      <c r="C651" s="132"/>
      <c r="D651" s="132"/>
      <c r="E651" s="132"/>
      <c r="F651" s="7"/>
      <c r="G651" s="7"/>
      <c r="H651" s="7"/>
      <c r="I651" s="7"/>
      <c r="J651" s="7"/>
      <c r="K651" s="132"/>
    </row>
    <row r="652" spans="1:11" ht="16.5" x14ac:dyDescent="0.25">
      <c r="A652" s="5" t="s">
        <v>115</v>
      </c>
      <c r="B652" s="5"/>
      <c r="C652" s="30"/>
      <c r="D652" s="30"/>
      <c r="E652" s="30"/>
      <c r="F652" s="5"/>
      <c r="G652" s="5"/>
      <c r="H652" s="5"/>
      <c r="I652" s="5"/>
      <c r="J652" s="5"/>
      <c r="K652" s="30"/>
    </row>
    <row r="653" spans="1:11" ht="16.5" x14ac:dyDescent="0.25">
      <c r="A653" s="5" t="s">
        <v>5</v>
      </c>
      <c r="B653" s="5"/>
      <c r="C653" s="6" t="s">
        <v>9</v>
      </c>
      <c r="D653" s="24"/>
      <c r="E653" s="30"/>
      <c r="F653" s="5"/>
      <c r="G653" s="5"/>
      <c r="H653" s="5"/>
      <c r="I653" s="5"/>
      <c r="J653" s="5"/>
      <c r="K653" s="30"/>
    </row>
    <row r="654" spans="1:11" ht="16.5" x14ac:dyDescent="0.25">
      <c r="A654" s="5" t="s">
        <v>10</v>
      </c>
      <c r="B654" s="5"/>
      <c r="C654" s="32" t="str">
        <f>$C$22</f>
        <v>8331100096008</v>
      </c>
      <c r="D654" s="17"/>
      <c r="E654" s="201" t="str">
        <f>$E$22</f>
        <v>Tại Ngân hàng Thương mại cổ phần Quân đội - Chi nhánh Hoàng Quốc Việt</v>
      </c>
      <c r="F654" s="201"/>
      <c r="G654" s="201"/>
      <c r="H654" s="201"/>
      <c r="I654" s="201"/>
      <c r="J654" s="201"/>
      <c r="K654" s="201"/>
    </row>
    <row r="655" spans="1:11" ht="16.5" x14ac:dyDescent="0.25">
      <c r="A655" s="5" t="s">
        <v>6</v>
      </c>
      <c r="B655" s="5"/>
      <c r="C655" s="6" t="s">
        <v>19</v>
      </c>
      <c r="D655" s="24"/>
      <c r="E655" s="127"/>
      <c r="F655" s="5"/>
      <c r="G655" s="5"/>
      <c r="H655" s="5"/>
      <c r="I655" s="5"/>
      <c r="J655" s="5"/>
      <c r="K655" s="30"/>
    </row>
    <row r="656" spans="1:11" ht="16.5" x14ac:dyDescent="0.25">
      <c r="A656" s="5" t="s">
        <v>7</v>
      </c>
      <c r="B656" s="5"/>
      <c r="C656" s="7" t="s">
        <v>116</v>
      </c>
      <c r="D656" s="132"/>
      <c r="E656" s="127" t="s">
        <v>117</v>
      </c>
      <c r="F656" s="5"/>
      <c r="G656" s="5"/>
      <c r="H656" s="5"/>
      <c r="I656" s="5"/>
      <c r="J656" s="5"/>
      <c r="K656" s="30"/>
    </row>
    <row r="657" spans="1:14" ht="16.5" x14ac:dyDescent="0.25">
      <c r="A657" s="5"/>
      <c r="B657" s="5"/>
      <c r="C657" s="30"/>
      <c r="D657" s="30"/>
      <c r="E657" s="30"/>
      <c r="F657" s="5"/>
      <c r="G657" s="5"/>
      <c r="H657" s="5"/>
      <c r="I657" s="5"/>
      <c r="J657" s="5"/>
      <c r="K657" s="30"/>
    </row>
    <row r="658" spans="1:14" ht="16.5" x14ac:dyDescent="0.25">
      <c r="A658" s="5" t="s">
        <v>295</v>
      </c>
      <c r="B658" s="5"/>
      <c r="C658" s="30"/>
      <c r="D658" s="30"/>
      <c r="E658" s="30"/>
      <c r="F658" s="5"/>
      <c r="G658" s="5"/>
      <c r="H658" s="5"/>
      <c r="I658" s="5"/>
      <c r="J658" s="5"/>
      <c r="K658" s="30"/>
      <c r="M658" s="72"/>
    </row>
    <row r="660" spans="1:14" ht="66" x14ac:dyDescent="0.25">
      <c r="A660" s="3" t="s">
        <v>12</v>
      </c>
      <c r="B660" s="3" t="s">
        <v>13</v>
      </c>
      <c r="C660" s="3" t="s">
        <v>23</v>
      </c>
      <c r="D660" s="3" t="s">
        <v>61</v>
      </c>
      <c r="E660" s="3" t="s">
        <v>14</v>
      </c>
      <c r="F660" s="3" t="s">
        <v>15</v>
      </c>
      <c r="G660" s="3" t="s">
        <v>16</v>
      </c>
      <c r="H660" s="3" t="s">
        <v>17</v>
      </c>
      <c r="I660" s="3" t="s">
        <v>26</v>
      </c>
      <c r="J660" s="129" t="s">
        <v>25</v>
      </c>
      <c r="K660" s="129" t="s">
        <v>18</v>
      </c>
      <c r="L660" s="85">
        <f>+G670+G680+G688+G700+G705+G708+G721+G725+G730+G732</f>
        <v>366227</v>
      </c>
      <c r="M660" s="119"/>
      <c r="N660" s="72"/>
    </row>
    <row r="661" spans="1:14" ht="16.5" x14ac:dyDescent="0.25">
      <c r="A661" s="3" t="str">
        <f>ROMAN(1,0)</f>
        <v>I</v>
      </c>
      <c r="B661" s="21" t="s">
        <v>55</v>
      </c>
      <c r="C661" s="3"/>
      <c r="D661" s="3"/>
      <c r="E661" s="3"/>
      <c r="F661" s="3"/>
      <c r="G661" s="3"/>
      <c r="H661" s="3"/>
      <c r="I661" s="3"/>
      <c r="J661" s="69">
        <f>SUBTOTAL(9,J662:J732)</f>
        <v>1045798558</v>
      </c>
      <c r="K661" s="131"/>
      <c r="L661" s="86"/>
    </row>
    <row r="662" spans="1:14" ht="17.25" x14ac:dyDescent="0.25">
      <c r="A662" s="218">
        <v>1</v>
      </c>
      <c r="B662" s="103" t="s">
        <v>148</v>
      </c>
      <c r="C662" s="130" t="s">
        <v>49</v>
      </c>
      <c r="D662" s="105">
        <v>46168</v>
      </c>
      <c r="E662" s="105">
        <v>46198</v>
      </c>
      <c r="F662" s="106">
        <v>20588</v>
      </c>
      <c r="G662" s="107">
        <v>20588</v>
      </c>
      <c r="H662" s="108">
        <f>E662-D662+1</f>
        <v>31</v>
      </c>
      <c r="I662" s="108">
        <v>85</v>
      </c>
      <c r="J662" s="94">
        <f>+I662*H662*G662</f>
        <v>54249380</v>
      </c>
      <c r="K662" s="131"/>
      <c r="L662" s="86"/>
    </row>
    <row r="663" spans="1:14" ht="17.25" x14ac:dyDescent="0.25">
      <c r="A663" s="218"/>
      <c r="B663" s="103" t="s">
        <v>148</v>
      </c>
      <c r="C663" s="130" t="s">
        <v>49</v>
      </c>
      <c r="D663" s="109">
        <v>46167</v>
      </c>
      <c r="E663" s="105">
        <v>46198</v>
      </c>
      <c r="F663" s="110"/>
      <c r="G663" s="107">
        <v>-200</v>
      </c>
      <c r="H663" s="108">
        <f t="shared" ref="H663:H669" si="145">E663-D663+1</f>
        <v>32</v>
      </c>
      <c r="I663" s="108">
        <v>85</v>
      </c>
      <c r="J663" s="94">
        <f t="shared" ref="J663:J669" si="146">+I663*H663*G663</f>
        <v>-544000</v>
      </c>
      <c r="K663" s="131"/>
      <c r="L663" s="86"/>
    </row>
    <row r="664" spans="1:14" ht="17.25" x14ac:dyDescent="0.25">
      <c r="A664" s="218"/>
      <c r="B664" s="103" t="s">
        <v>148</v>
      </c>
      <c r="C664" s="130" t="s">
        <v>49</v>
      </c>
      <c r="D664" s="109">
        <v>46168</v>
      </c>
      <c r="E664" s="105">
        <v>46198</v>
      </c>
      <c r="F664" s="110"/>
      <c r="G664" s="107">
        <v>-400</v>
      </c>
      <c r="H664" s="108">
        <f t="shared" si="145"/>
        <v>31</v>
      </c>
      <c r="I664" s="108">
        <v>85</v>
      </c>
      <c r="J664" s="94">
        <f t="shared" si="146"/>
        <v>-1054000</v>
      </c>
      <c r="K664" s="131"/>
      <c r="L664" s="86"/>
    </row>
    <row r="665" spans="1:14" ht="17.25" x14ac:dyDescent="0.25">
      <c r="A665" s="218"/>
      <c r="B665" s="103" t="s">
        <v>148</v>
      </c>
      <c r="C665" s="130" t="s">
        <v>49</v>
      </c>
      <c r="D665" s="109">
        <v>46170</v>
      </c>
      <c r="E665" s="105">
        <v>46198</v>
      </c>
      <c r="F665" s="110"/>
      <c r="G665" s="107">
        <v>-600</v>
      </c>
      <c r="H665" s="108">
        <f t="shared" si="145"/>
        <v>29</v>
      </c>
      <c r="I665" s="108">
        <v>85</v>
      </c>
      <c r="J665" s="94">
        <f t="shared" si="146"/>
        <v>-1479000</v>
      </c>
      <c r="K665" s="131"/>
      <c r="L665" s="86"/>
    </row>
    <row r="666" spans="1:14" ht="17.25" x14ac:dyDescent="0.25">
      <c r="A666" s="218"/>
      <c r="B666" s="103" t="s">
        <v>148</v>
      </c>
      <c r="C666" s="130" t="s">
        <v>49</v>
      </c>
      <c r="D666" s="109">
        <v>46170</v>
      </c>
      <c r="E666" s="105">
        <v>46198</v>
      </c>
      <c r="F666" s="110"/>
      <c r="G666" s="107">
        <v>-400</v>
      </c>
      <c r="H666" s="108">
        <f t="shared" si="145"/>
        <v>29</v>
      </c>
      <c r="I666" s="108">
        <v>85</v>
      </c>
      <c r="J666" s="94">
        <f t="shared" si="146"/>
        <v>-986000</v>
      </c>
      <c r="K666" s="131"/>
      <c r="L666" s="86"/>
    </row>
    <row r="667" spans="1:14" ht="17.25" x14ac:dyDescent="0.25">
      <c r="A667" s="218"/>
      <c r="B667" s="103" t="s">
        <v>148</v>
      </c>
      <c r="C667" s="130" t="s">
        <v>49</v>
      </c>
      <c r="D667" s="109">
        <v>46174</v>
      </c>
      <c r="E667" s="105">
        <v>46198</v>
      </c>
      <c r="F667" s="110"/>
      <c r="G667" s="107">
        <v>-1000</v>
      </c>
      <c r="H667" s="108">
        <f t="shared" si="145"/>
        <v>25</v>
      </c>
      <c r="I667" s="108">
        <v>85</v>
      </c>
      <c r="J667" s="94">
        <f t="shared" si="146"/>
        <v>-2125000</v>
      </c>
      <c r="K667" s="131"/>
      <c r="L667" s="86"/>
    </row>
    <row r="668" spans="1:14" ht="17.25" x14ac:dyDescent="0.25">
      <c r="A668" s="218"/>
      <c r="B668" s="103" t="s">
        <v>148</v>
      </c>
      <c r="C668" s="130" t="s">
        <v>49</v>
      </c>
      <c r="D668" s="109">
        <v>46183</v>
      </c>
      <c r="E668" s="105">
        <v>46198</v>
      </c>
      <c r="F668" s="110"/>
      <c r="G668" s="107">
        <v>-200</v>
      </c>
      <c r="H668" s="108">
        <f t="shared" si="145"/>
        <v>16</v>
      </c>
      <c r="I668" s="108">
        <v>85</v>
      </c>
      <c r="J668" s="94">
        <f t="shared" si="146"/>
        <v>-272000</v>
      </c>
      <c r="K668" s="131"/>
      <c r="L668" s="86"/>
    </row>
    <row r="669" spans="1:14" ht="17.25" x14ac:dyDescent="0.25">
      <c r="A669" s="218"/>
      <c r="B669" s="103" t="s">
        <v>148</v>
      </c>
      <c r="C669" s="130" t="s">
        <v>49</v>
      </c>
      <c r="D669" s="109">
        <v>46190</v>
      </c>
      <c r="E669" s="105">
        <v>46198</v>
      </c>
      <c r="F669" s="110"/>
      <c r="G669" s="107">
        <v>-600</v>
      </c>
      <c r="H669" s="108">
        <f t="shared" si="145"/>
        <v>9</v>
      </c>
      <c r="I669" s="108">
        <v>85</v>
      </c>
      <c r="J669" s="94">
        <f t="shared" si="146"/>
        <v>-459000</v>
      </c>
      <c r="K669" s="131"/>
      <c r="L669" s="86"/>
    </row>
    <row r="670" spans="1:14" ht="16.5" x14ac:dyDescent="0.25">
      <c r="A670" s="218"/>
      <c r="B670" s="215" t="s">
        <v>20</v>
      </c>
      <c r="C670" s="216"/>
      <c r="D670" s="216"/>
      <c r="E670" s="216"/>
      <c r="F670" s="217"/>
      <c r="G670" s="111">
        <f>SUM(G662:G669)</f>
        <v>17188</v>
      </c>
      <c r="H670" s="108"/>
      <c r="I670" s="108"/>
      <c r="J670" s="69">
        <f>+SUBTOTAL(109,J662:J669)</f>
        <v>47330380</v>
      </c>
      <c r="K670" s="131"/>
      <c r="L670" s="86"/>
    </row>
    <row r="671" spans="1:14" ht="17.25" x14ac:dyDescent="0.25">
      <c r="A671" s="212">
        <v>2</v>
      </c>
      <c r="B671" s="103" t="s">
        <v>122</v>
      </c>
      <c r="C671" s="130" t="s">
        <v>49</v>
      </c>
      <c r="D671" s="105">
        <v>46168</v>
      </c>
      <c r="E671" s="105">
        <v>46198</v>
      </c>
      <c r="F671" s="106">
        <v>30601</v>
      </c>
      <c r="G671" s="107">
        <v>30601</v>
      </c>
      <c r="H671" s="108">
        <f>E671-D671+1</f>
        <v>31</v>
      </c>
      <c r="I671" s="108">
        <v>125</v>
      </c>
      <c r="J671" s="94">
        <f t="shared" ref="J671:J679" si="147">+I671*H671*G671</f>
        <v>118578875</v>
      </c>
      <c r="K671" s="131"/>
      <c r="L671" s="86"/>
    </row>
    <row r="672" spans="1:14" ht="17.25" x14ac:dyDescent="0.25">
      <c r="A672" s="213"/>
      <c r="B672" s="103" t="s">
        <v>122</v>
      </c>
      <c r="C672" s="130" t="s">
        <v>49</v>
      </c>
      <c r="D672" s="109">
        <v>46167</v>
      </c>
      <c r="E672" s="105">
        <v>46198</v>
      </c>
      <c r="F672" s="110"/>
      <c r="G672" s="107">
        <v>-800</v>
      </c>
      <c r="H672" s="108">
        <f>E672-D672+1</f>
        <v>32</v>
      </c>
      <c r="I672" s="108">
        <v>125</v>
      </c>
      <c r="J672" s="94">
        <f t="shared" si="147"/>
        <v>-3200000</v>
      </c>
      <c r="K672" s="131"/>
      <c r="L672" s="86"/>
    </row>
    <row r="673" spans="1:12" ht="17.25" x14ac:dyDescent="0.25">
      <c r="A673" s="213"/>
      <c r="B673" s="103" t="s">
        <v>122</v>
      </c>
      <c r="C673" s="130" t="s">
        <v>49</v>
      </c>
      <c r="D673" s="109">
        <v>46168</v>
      </c>
      <c r="E673" s="105">
        <v>46198</v>
      </c>
      <c r="F673" s="110"/>
      <c r="G673" s="107">
        <v>-1000</v>
      </c>
      <c r="H673" s="108">
        <f t="shared" ref="H673:H679" si="148">E673-D673+1</f>
        <v>31</v>
      </c>
      <c r="I673" s="108">
        <v>125</v>
      </c>
      <c r="J673" s="94">
        <f t="shared" si="147"/>
        <v>-3875000</v>
      </c>
      <c r="K673" s="131"/>
      <c r="L673" s="86"/>
    </row>
    <row r="674" spans="1:12" ht="17.25" x14ac:dyDescent="0.25">
      <c r="A674" s="213"/>
      <c r="B674" s="103" t="s">
        <v>122</v>
      </c>
      <c r="C674" s="130" t="s">
        <v>49</v>
      </c>
      <c r="D674" s="109">
        <v>46170</v>
      </c>
      <c r="E674" s="105">
        <v>46198</v>
      </c>
      <c r="F674" s="110"/>
      <c r="G674" s="107">
        <v>-500</v>
      </c>
      <c r="H674" s="108">
        <f t="shared" si="148"/>
        <v>29</v>
      </c>
      <c r="I674" s="108">
        <v>125</v>
      </c>
      <c r="J674" s="94">
        <f t="shared" si="147"/>
        <v>-1812500</v>
      </c>
      <c r="K674" s="131"/>
      <c r="L674" s="86"/>
    </row>
    <row r="675" spans="1:12" ht="17.25" x14ac:dyDescent="0.25">
      <c r="A675" s="213"/>
      <c r="B675" s="103" t="s">
        <v>122</v>
      </c>
      <c r="C675" s="130" t="s">
        <v>49</v>
      </c>
      <c r="D675" s="109">
        <v>46170</v>
      </c>
      <c r="E675" s="105">
        <v>46198</v>
      </c>
      <c r="F675" s="110"/>
      <c r="G675" s="107">
        <v>-300</v>
      </c>
      <c r="H675" s="108">
        <f t="shared" si="148"/>
        <v>29</v>
      </c>
      <c r="I675" s="108">
        <v>125</v>
      </c>
      <c r="J675" s="94">
        <f t="shared" si="147"/>
        <v>-1087500</v>
      </c>
      <c r="K675" s="131"/>
      <c r="L675" s="86"/>
    </row>
    <row r="676" spans="1:12" ht="17.25" x14ac:dyDescent="0.25">
      <c r="A676" s="213"/>
      <c r="B676" s="103" t="s">
        <v>122</v>
      </c>
      <c r="C676" s="130" t="s">
        <v>49</v>
      </c>
      <c r="D676" s="109">
        <v>46174</v>
      </c>
      <c r="E676" s="105">
        <v>46198</v>
      </c>
      <c r="F676" s="110"/>
      <c r="G676" s="107">
        <v>-500</v>
      </c>
      <c r="H676" s="108">
        <f t="shared" si="148"/>
        <v>25</v>
      </c>
      <c r="I676" s="108">
        <v>125</v>
      </c>
      <c r="J676" s="94">
        <f t="shared" si="147"/>
        <v>-1562500</v>
      </c>
      <c r="K676" s="131"/>
      <c r="L676" s="86"/>
    </row>
    <row r="677" spans="1:12" ht="17.25" x14ac:dyDescent="0.25">
      <c r="A677" s="213"/>
      <c r="B677" s="103" t="s">
        <v>122</v>
      </c>
      <c r="C677" s="130" t="s">
        <v>49</v>
      </c>
      <c r="D677" s="109">
        <v>46175</v>
      </c>
      <c r="E677" s="105">
        <v>46198</v>
      </c>
      <c r="F677" s="110"/>
      <c r="G677" s="107">
        <v>-100</v>
      </c>
      <c r="H677" s="108">
        <f t="shared" si="148"/>
        <v>24</v>
      </c>
      <c r="I677" s="108">
        <v>125</v>
      </c>
      <c r="J677" s="94">
        <f t="shared" si="147"/>
        <v>-300000</v>
      </c>
      <c r="K677" s="131"/>
      <c r="L677" s="86"/>
    </row>
    <row r="678" spans="1:12" ht="17.25" x14ac:dyDescent="0.25">
      <c r="A678" s="213"/>
      <c r="B678" s="103" t="s">
        <v>122</v>
      </c>
      <c r="C678" s="130" t="s">
        <v>49</v>
      </c>
      <c r="D678" s="109">
        <v>46190</v>
      </c>
      <c r="E678" s="105">
        <v>46198</v>
      </c>
      <c r="F678" s="110"/>
      <c r="G678" s="107">
        <v>-200</v>
      </c>
      <c r="H678" s="108">
        <f t="shared" si="148"/>
        <v>9</v>
      </c>
      <c r="I678" s="108">
        <v>125</v>
      </c>
      <c r="J678" s="94">
        <f t="shared" si="147"/>
        <v>-225000</v>
      </c>
      <c r="K678" s="131"/>
      <c r="L678" s="86"/>
    </row>
    <row r="679" spans="1:12" ht="17.25" x14ac:dyDescent="0.25">
      <c r="A679" s="213"/>
      <c r="B679" s="103" t="s">
        <v>122</v>
      </c>
      <c r="C679" s="130" t="s">
        <v>49</v>
      </c>
      <c r="D679" s="109">
        <v>46194</v>
      </c>
      <c r="E679" s="105">
        <v>46198</v>
      </c>
      <c r="F679" s="110"/>
      <c r="G679" s="107">
        <v>-500</v>
      </c>
      <c r="H679" s="108">
        <f t="shared" si="148"/>
        <v>5</v>
      </c>
      <c r="I679" s="108">
        <v>125</v>
      </c>
      <c r="J679" s="94">
        <f t="shared" si="147"/>
        <v>-312500</v>
      </c>
      <c r="K679" s="131"/>
      <c r="L679" s="86"/>
    </row>
    <row r="680" spans="1:12" ht="16.5" x14ac:dyDescent="0.25">
      <c r="A680" s="214"/>
      <c r="B680" s="215" t="s">
        <v>20</v>
      </c>
      <c r="C680" s="216"/>
      <c r="D680" s="216"/>
      <c r="E680" s="216"/>
      <c r="F680" s="217"/>
      <c r="G680" s="111">
        <f>SUM(G671:G679)</f>
        <v>26701</v>
      </c>
      <c r="H680" s="108"/>
      <c r="I680" s="108"/>
      <c r="J680" s="69">
        <f>+SUBTOTAL(109,J671:J679)</f>
        <v>106203875</v>
      </c>
      <c r="K680" s="131"/>
      <c r="L680" s="86"/>
    </row>
    <row r="681" spans="1:12" ht="17.25" x14ac:dyDescent="0.25">
      <c r="A681" s="212">
        <v>3</v>
      </c>
      <c r="B681" s="103" t="s">
        <v>118</v>
      </c>
      <c r="C681" s="130" t="s">
        <v>49</v>
      </c>
      <c r="D681" s="105">
        <v>46168</v>
      </c>
      <c r="E681" s="105">
        <v>46198</v>
      </c>
      <c r="F681" s="106">
        <v>13200</v>
      </c>
      <c r="G681" s="107">
        <v>13200</v>
      </c>
      <c r="H681" s="108">
        <f t="shared" ref="H681:H687" si="149">E681-D681+1</f>
        <v>31</v>
      </c>
      <c r="I681" s="108">
        <v>159</v>
      </c>
      <c r="J681" s="94">
        <f>+I681*H681*G681</f>
        <v>65062800</v>
      </c>
      <c r="K681" s="131"/>
      <c r="L681" s="86"/>
    </row>
    <row r="682" spans="1:12" ht="17.25" x14ac:dyDescent="0.25">
      <c r="A682" s="213"/>
      <c r="B682" s="103" t="s">
        <v>118</v>
      </c>
      <c r="C682" s="130" t="s">
        <v>49</v>
      </c>
      <c r="D682" s="109">
        <v>46167</v>
      </c>
      <c r="E682" s="105">
        <v>46198</v>
      </c>
      <c r="F682" s="110"/>
      <c r="G682" s="107">
        <v>-200</v>
      </c>
      <c r="H682" s="108">
        <f t="shared" si="149"/>
        <v>32</v>
      </c>
      <c r="I682" s="108">
        <v>159</v>
      </c>
      <c r="J682" s="94">
        <f t="shared" ref="J682:J687" si="150">+I682*H682*G682</f>
        <v>-1017600</v>
      </c>
      <c r="K682" s="131"/>
      <c r="L682" s="86"/>
    </row>
    <row r="683" spans="1:12" ht="17.25" x14ac:dyDescent="0.25">
      <c r="A683" s="213"/>
      <c r="B683" s="103" t="s">
        <v>118</v>
      </c>
      <c r="C683" s="130" t="s">
        <v>49</v>
      </c>
      <c r="D683" s="109">
        <v>46168</v>
      </c>
      <c r="E683" s="105">
        <v>46198</v>
      </c>
      <c r="F683" s="110"/>
      <c r="G683" s="107">
        <v>-600</v>
      </c>
      <c r="H683" s="108">
        <f t="shared" si="149"/>
        <v>31</v>
      </c>
      <c r="I683" s="108">
        <v>159</v>
      </c>
      <c r="J683" s="94">
        <f t="shared" si="150"/>
        <v>-2957400</v>
      </c>
      <c r="K683" s="131"/>
      <c r="L683" s="86"/>
    </row>
    <row r="684" spans="1:12" ht="17.25" x14ac:dyDescent="0.25">
      <c r="A684" s="213"/>
      <c r="B684" s="103" t="s">
        <v>118</v>
      </c>
      <c r="C684" s="130" t="s">
        <v>49</v>
      </c>
      <c r="D684" s="109">
        <v>46170</v>
      </c>
      <c r="E684" s="105">
        <v>46198</v>
      </c>
      <c r="F684" s="110"/>
      <c r="G684" s="107">
        <v>-500</v>
      </c>
      <c r="H684" s="108">
        <f t="shared" si="149"/>
        <v>29</v>
      </c>
      <c r="I684" s="108">
        <v>159</v>
      </c>
      <c r="J684" s="94">
        <f t="shared" si="150"/>
        <v>-2305500</v>
      </c>
      <c r="K684" s="131"/>
      <c r="L684" s="86"/>
    </row>
    <row r="685" spans="1:12" ht="17.25" x14ac:dyDescent="0.25">
      <c r="A685" s="213"/>
      <c r="B685" s="103" t="s">
        <v>118</v>
      </c>
      <c r="C685" s="130" t="s">
        <v>49</v>
      </c>
      <c r="D685" s="109">
        <v>46170</v>
      </c>
      <c r="E685" s="105">
        <v>46198</v>
      </c>
      <c r="F685" s="110"/>
      <c r="G685" s="107">
        <v>-200</v>
      </c>
      <c r="H685" s="108">
        <f t="shared" si="149"/>
        <v>29</v>
      </c>
      <c r="I685" s="108">
        <v>159</v>
      </c>
      <c r="J685" s="94">
        <f t="shared" si="150"/>
        <v>-922200</v>
      </c>
      <c r="K685" s="131"/>
      <c r="L685" s="86"/>
    </row>
    <row r="686" spans="1:12" ht="17.25" x14ac:dyDescent="0.25">
      <c r="A686" s="213"/>
      <c r="B686" s="103" t="s">
        <v>118</v>
      </c>
      <c r="C686" s="130" t="s">
        <v>49</v>
      </c>
      <c r="D686" s="109">
        <v>46174</v>
      </c>
      <c r="E686" s="105">
        <v>46198</v>
      </c>
      <c r="F686" s="110"/>
      <c r="G686" s="107">
        <v>-300</v>
      </c>
      <c r="H686" s="108">
        <f t="shared" si="149"/>
        <v>25</v>
      </c>
      <c r="I686" s="108">
        <v>159</v>
      </c>
      <c r="J686" s="94">
        <f t="shared" si="150"/>
        <v>-1192500</v>
      </c>
      <c r="K686" s="131"/>
      <c r="L686" s="86"/>
    </row>
    <row r="687" spans="1:12" ht="17.25" x14ac:dyDescent="0.25">
      <c r="A687" s="213"/>
      <c r="B687" s="103" t="s">
        <v>118</v>
      </c>
      <c r="C687" s="130" t="s">
        <v>49</v>
      </c>
      <c r="D687" s="109">
        <v>46194</v>
      </c>
      <c r="E687" s="105">
        <v>46198</v>
      </c>
      <c r="F687" s="110"/>
      <c r="G687" s="107">
        <v>-1700</v>
      </c>
      <c r="H687" s="108">
        <f t="shared" si="149"/>
        <v>5</v>
      </c>
      <c r="I687" s="108">
        <v>159</v>
      </c>
      <c r="J687" s="94">
        <f t="shared" si="150"/>
        <v>-1351500</v>
      </c>
      <c r="K687" s="131"/>
      <c r="L687" s="86"/>
    </row>
    <row r="688" spans="1:12" ht="16.5" x14ac:dyDescent="0.25">
      <c r="A688" s="214"/>
      <c r="B688" s="215" t="s">
        <v>20</v>
      </c>
      <c r="C688" s="216"/>
      <c r="D688" s="216"/>
      <c r="E688" s="216"/>
      <c r="F688" s="217"/>
      <c r="G688" s="111">
        <f>SUM(G681:G687)</f>
        <v>9700</v>
      </c>
      <c r="H688" s="108"/>
      <c r="I688" s="108"/>
      <c r="J688" s="69">
        <f>+SUBTOTAL(109,J681:J687)</f>
        <v>55316100</v>
      </c>
      <c r="K688" s="131"/>
      <c r="L688" s="86"/>
    </row>
    <row r="689" spans="1:12" ht="17.25" x14ac:dyDescent="0.25">
      <c r="A689" s="212">
        <v>4</v>
      </c>
      <c r="B689" s="103" t="s">
        <v>50</v>
      </c>
      <c r="C689" s="130" t="s">
        <v>49</v>
      </c>
      <c r="D689" s="105">
        <v>46168</v>
      </c>
      <c r="E689" s="105">
        <v>46198</v>
      </c>
      <c r="F689" s="106">
        <v>42747</v>
      </c>
      <c r="G689" s="107">
        <v>42747</v>
      </c>
      <c r="H689" s="108">
        <f t="shared" ref="H689:H699" si="151">E689-D689+1</f>
        <v>31</v>
      </c>
      <c r="I689" s="108">
        <v>185</v>
      </c>
      <c r="J689" s="94">
        <f>+I689*H689*G689</f>
        <v>245154045</v>
      </c>
      <c r="K689" s="131"/>
      <c r="L689" s="86"/>
    </row>
    <row r="690" spans="1:12" ht="17.25" x14ac:dyDescent="0.25">
      <c r="A690" s="213"/>
      <c r="B690" s="103" t="s">
        <v>50</v>
      </c>
      <c r="C690" s="130" t="s">
        <v>49</v>
      </c>
      <c r="D690" s="105">
        <v>46167</v>
      </c>
      <c r="E690" s="105">
        <v>46198</v>
      </c>
      <c r="F690" s="106"/>
      <c r="G690" s="107">
        <v>-400</v>
      </c>
      <c r="H690" s="108">
        <f t="shared" si="151"/>
        <v>32</v>
      </c>
      <c r="I690" s="108">
        <v>185</v>
      </c>
      <c r="J690" s="94">
        <f t="shared" ref="J690:J699" si="152">+I690*H690*G690</f>
        <v>-2368000</v>
      </c>
      <c r="K690" s="131"/>
      <c r="L690" s="86"/>
    </row>
    <row r="691" spans="1:12" ht="17.25" x14ac:dyDescent="0.25">
      <c r="A691" s="213"/>
      <c r="B691" s="103" t="s">
        <v>50</v>
      </c>
      <c r="C691" s="130" t="s">
        <v>49</v>
      </c>
      <c r="D691" s="105">
        <v>46168</v>
      </c>
      <c r="E691" s="105">
        <v>46198</v>
      </c>
      <c r="F691" s="106"/>
      <c r="G691" s="107">
        <v>-400</v>
      </c>
      <c r="H691" s="108">
        <f t="shared" si="151"/>
        <v>31</v>
      </c>
      <c r="I691" s="108">
        <v>185</v>
      </c>
      <c r="J691" s="94">
        <f t="shared" si="152"/>
        <v>-2294000</v>
      </c>
      <c r="K691" s="131"/>
      <c r="L691" s="86"/>
    </row>
    <row r="692" spans="1:12" ht="17.25" x14ac:dyDescent="0.25">
      <c r="A692" s="213"/>
      <c r="B692" s="103" t="s">
        <v>50</v>
      </c>
      <c r="C692" s="130" t="s">
        <v>49</v>
      </c>
      <c r="D692" s="105">
        <v>46170</v>
      </c>
      <c r="E692" s="105">
        <v>46198</v>
      </c>
      <c r="F692" s="106"/>
      <c r="G692" s="107">
        <v>-700</v>
      </c>
      <c r="H692" s="108">
        <f t="shared" si="151"/>
        <v>29</v>
      </c>
      <c r="I692" s="108">
        <v>185</v>
      </c>
      <c r="J692" s="94">
        <f t="shared" si="152"/>
        <v>-3755500</v>
      </c>
      <c r="K692" s="131"/>
      <c r="L692" s="86"/>
    </row>
    <row r="693" spans="1:12" ht="17.25" x14ac:dyDescent="0.25">
      <c r="A693" s="213"/>
      <c r="B693" s="103" t="s">
        <v>50</v>
      </c>
      <c r="C693" s="130" t="s">
        <v>49</v>
      </c>
      <c r="D693" s="105">
        <v>46170</v>
      </c>
      <c r="E693" s="105">
        <v>46198</v>
      </c>
      <c r="F693" s="106"/>
      <c r="G693" s="107">
        <v>-500</v>
      </c>
      <c r="H693" s="108">
        <f t="shared" si="151"/>
        <v>29</v>
      </c>
      <c r="I693" s="108">
        <v>185</v>
      </c>
      <c r="J693" s="94">
        <f t="shared" si="152"/>
        <v>-2682500</v>
      </c>
      <c r="K693" s="131"/>
      <c r="L693" s="86"/>
    </row>
    <row r="694" spans="1:12" ht="17.25" x14ac:dyDescent="0.25">
      <c r="A694" s="213"/>
      <c r="B694" s="103" t="s">
        <v>50</v>
      </c>
      <c r="C694" s="130" t="s">
        <v>49</v>
      </c>
      <c r="D694" s="105">
        <v>46174</v>
      </c>
      <c r="E694" s="105">
        <v>46198</v>
      </c>
      <c r="F694" s="106"/>
      <c r="G694" s="107">
        <v>-300</v>
      </c>
      <c r="H694" s="108">
        <f t="shared" si="151"/>
        <v>25</v>
      </c>
      <c r="I694" s="108">
        <v>185</v>
      </c>
      <c r="J694" s="94">
        <f t="shared" si="152"/>
        <v>-1387500</v>
      </c>
      <c r="K694" s="131"/>
      <c r="L694" s="86"/>
    </row>
    <row r="695" spans="1:12" ht="17.25" x14ac:dyDescent="0.25">
      <c r="A695" s="213"/>
      <c r="B695" s="103" t="s">
        <v>50</v>
      </c>
      <c r="C695" s="130" t="s">
        <v>49</v>
      </c>
      <c r="D695" s="105">
        <v>46175</v>
      </c>
      <c r="E695" s="105">
        <v>46198</v>
      </c>
      <c r="F695" s="106"/>
      <c r="G695" s="107">
        <v>-1300</v>
      </c>
      <c r="H695" s="108">
        <f t="shared" si="151"/>
        <v>24</v>
      </c>
      <c r="I695" s="108">
        <v>185</v>
      </c>
      <c r="J695" s="94">
        <f t="shared" si="152"/>
        <v>-5772000</v>
      </c>
      <c r="K695" s="131"/>
      <c r="L695" s="86"/>
    </row>
    <row r="696" spans="1:12" ht="17.25" x14ac:dyDescent="0.25">
      <c r="A696" s="213"/>
      <c r="B696" s="103" t="s">
        <v>50</v>
      </c>
      <c r="C696" s="130" t="s">
        <v>49</v>
      </c>
      <c r="D696" s="105">
        <v>46182</v>
      </c>
      <c r="E696" s="105">
        <v>46198</v>
      </c>
      <c r="F696" s="106"/>
      <c r="G696" s="107">
        <v>-1493</v>
      </c>
      <c r="H696" s="108">
        <f t="shared" si="151"/>
        <v>17</v>
      </c>
      <c r="I696" s="108">
        <v>185</v>
      </c>
      <c r="J696" s="94">
        <f t="shared" si="152"/>
        <v>-4695485</v>
      </c>
      <c r="K696" s="131"/>
      <c r="L696" s="86"/>
    </row>
    <row r="697" spans="1:12" ht="17.25" x14ac:dyDescent="0.25">
      <c r="A697" s="213"/>
      <c r="B697" s="103" t="s">
        <v>50</v>
      </c>
      <c r="C697" s="130" t="s">
        <v>49</v>
      </c>
      <c r="D697" s="105">
        <v>46183</v>
      </c>
      <c r="E697" s="105">
        <v>46198</v>
      </c>
      <c r="F697" s="106"/>
      <c r="G697" s="107">
        <v>-1900</v>
      </c>
      <c r="H697" s="108">
        <f t="shared" si="151"/>
        <v>16</v>
      </c>
      <c r="I697" s="108">
        <v>185</v>
      </c>
      <c r="J697" s="94">
        <f t="shared" si="152"/>
        <v>-5624000</v>
      </c>
      <c r="K697" s="131"/>
      <c r="L697" s="86"/>
    </row>
    <row r="698" spans="1:12" ht="17.25" x14ac:dyDescent="0.25">
      <c r="A698" s="213"/>
      <c r="B698" s="103" t="s">
        <v>50</v>
      </c>
      <c r="C698" s="130" t="s">
        <v>49</v>
      </c>
      <c r="D698" s="105">
        <v>46190</v>
      </c>
      <c r="E698" s="105">
        <v>46198</v>
      </c>
      <c r="F698" s="106"/>
      <c r="G698" s="107">
        <v>-700</v>
      </c>
      <c r="H698" s="108">
        <f t="shared" si="151"/>
        <v>9</v>
      </c>
      <c r="I698" s="108">
        <v>185</v>
      </c>
      <c r="J698" s="94">
        <f t="shared" si="152"/>
        <v>-1165500</v>
      </c>
      <c r="K698" s="131"/>
      <c r="L698" s="86"/>
    </row>
    <row r="699" spans="1:12" ht="17.25" x14ac:dyDescent="0.25">
      <c r="A699" s="213"/>
      <c r="B699" s="103" t="s">
        <v>50</v>
      </c>
      <c r="C699" s="130" t="s">
        <v>49</v>
      </c>
      <c r="D699" s="105">
        <v>46198</v>
      </c>
      <c r="E699" s="105">
        <v>46198</v>
      </c>
      <c r="F699" s="106"/>
      <c r="G699" s="107">
        <v>-2400</v>
      </c>
      <c r="H699" s="108">
        <f t="shared" si="151"/>
        <v>1</v>
      </c>
      <c r="I699" s="108">
        <v>185</v>
      </c>
      <c r="J699" s="94">
        <f t="shared" si="152"/>
        <v>-444000</v>
      </c>
      <c r="K699" s="131"/>
      <c r="L699" s="86"/>
    </row>
    <row r="700" spans="1:12" ht="16.5" x14ac:dyDescent="0.25">
      <c r="A700" s="214"/>
      <c r="B700" s="210" t="s">
        <v>20</v>
      </c>
      <c r="C700" s="210"/>
      <c r="D700" s="210"/>
      <c r="E700" s="210"/>
      <c r="F700" s="210"/>
      <c r="G700" s="111">
        <f>SUM(G689:G699)</f>
        <v>32654</v>
      </c>
      <c r="H700" s="108"/>
      <c r="I700" s="108"/>
      <c r="J700" s="69">
        <f>+SUBTOTAL(109,J689:J699)</f>
        <v>214965560</v>
      </c>
      <c r="K700" s="131"/>
      <c r="L700" s="86"/>
    </row>
    <row r="701" spans="1:12" ht="17.25" x14ac:dyDescent="0.25">
      <c r="A701" s="212">
        <v>5</v>
      </c>
      <c r="B701" s="103" t="s">
        <v>126</v>
      </c>
      <c r="C701" s="130" t="s">
        <v>24</v>
      </c>
      <c r="D701" s="105">
        <v>46168</v>
      </c>
      <c r="E701" s="105">
        <v>46198</v>
      </c>
      <c r="F701" s="106">
        <v>35500</v>
      </c>
      <c r="G701" s="107">
        <v>35500</v>
      </c>
      <c r="H701" s="108">
        <f t="shared" ref="H701:H704" si="153">E701-D701+1</f>
        <v>31</v>
      </c>
      <c r="I701" s="108">
        <v>43</v>
      </c>
      <c r="J701" s="94">
        <f>+I701*H701*G701</f>
        <v>47321500</v>
      </c>
      <c r="K701" s="131"/>
      <c r="L701" s="86"/>
    </row>
    <row r="702" spans="1:12" ht="17.25" x14ac:dyDescent="0.25">
      <c r="A702" s="213"/>
      <c r="B702" s="103" t="s">
        <v>126</v>
      </c>
      <c r="C702" s="130" t="s">
        <v>24</v>
      </c>
      <c r="D702" s="105">
        <v>46174</v>
      </c>
      <c r="E702" s="105">
        <v>46198</v>
      </c>
      <c r="F702" s="106"/>
      <c r="G702" s="107">
        <v>-1260</v>
      </c>
      <c r="H702" s="108">
        <f t="shared" si="153"/>
        <v>25</v>
      </c>
      <c r="I702" s="108">
        <v>43</v>
      </c>
      <c r="J702" s="94">
        <f t="shared" ref="J702:J704" si="154">+I702*H702*G702</f>
        <v>-1354500</v>
      </c>
      <c r="K702" s="131"/>
      <c r="L702" s="86"/>
    </row>
    <row r="703" spans="1:12" ht="17.25" x14ac:dyDescent="0.25">
      <c r="A703" s="213"/>
      <c r="B703" s="103" t="s">
        <v>126</v>
      </c>
      <c r="C703" s="130" t="s">
        <v>24</v>
      </c>
      <c r="D703" s="105">
        <v>46175</v>
      </c>
      <c r="E703" s="105">
        <v>46198</v>
      </c>
      <c r="F703" s="106"/>
      <c r="G703" s="107">
        <v>-840</v>
      </c>
      <c r="H703" s="108">
        <f t="shared" si="153"/>
        <v>24</v>
      </c>
      <c r="I703" s="108">
        <v>43</v>
      </c>
      <c r="J703" s="94">
        <f t="shared" si="154"/>
        <v>-866880</v>
      </c>
      <c r="K703" s="131"/>
      <c r="L703" s="86"/>
    </row>
    <row r="704" spans="1:12" ht="17.25" x14ac:dyDescent="0.25">
      <c r="A704" s="213"/>
      <c r="B704" s="103" t="s">
        <v>126</v>
      </c>
      <c r="C704" s="130" t="s">
        <v>24</v>
      </c>
      <c r="D704" s="105">
        <v>46190</v>
      </c>
      <c r="E704" s="105">
        <v>46198</v>
      </c>
      <c r="F704" s="106"/>
      <c r="G704" s="107">
        <v>-1050</v>
      </c>
      <c r="H704" s="108">
        <f t="shared" si="153"/>
        <v>9</v>
      </c>
      <c r="I704" s="108">
        <v>43</v>
      </c>
      <c r="J704" s="94">
        <f t="shared" si="154"/>
        <v>-406350</v>
      </c>
      <c r="K704" s="131"/>
      <c r="L704" s="86"/>
    </row>
    <row r="705" spans="1:12" ht="16.5" x14ac:dyDescent="0.25">
      <c r="A705" s="214"/>
      <c r="B705" s="215" t="s">
        <v>20</v>
      </c>
      <c r="C705" s="216"/>
      <c r="D705" s="216"/>
      <c r="E705" s="216"/>
      <c r="F705" s="217"/>
      <c r="G705" s="111">
        <f>SUM(G701:G704)</f>
        <v>32350</v>
      </c>
      <c r="H705" s="108"/>
      <c r="I705" s="108"/>
      <c r="J705" s="69">
        <f>+SUBTOTAL(109,J701:J704)</f>
        <v>44693770</v>
      </c>
      <c r="K705" s="131"/>
      <c r="L705" s="86"/>
    </row>
    <row r="706" spans="1:12" ht="17.25" x14ac:dyDescent="0.25">
      <c r="A706" s="212">
        <v>6</v>
      </c>
      <c r="B706" s="103" t="s">
        <v>149</v>
      </c>
      <c r="C706" s="130" t="s">
        <v>24</v>
      </c>
      <c r="D706" s="105">
        <v>46168</v>
      </c>
      <c r="E706" s="105">
        <v>46198</v>
      </c>
      <c r="F706" s="106">
        <v>23834</v>
      </c>
      <c r="G706" s="107">
        <v>23834</v>
      </c>
      <c r="H706" s="108">
        <f t="shared" ref="H706:H707" si="155">E706-D706+1</f>
        <v>31</v>
      </c>
      <c r="I706" s="108">
        <v>55</v>
      </c>
      <c r="J706" s="94">
        <f>+I706*H706*G706</f>
        <v>40636970</v>
      </c>
      <c r="K706" s="131"/>
      <c r="L706" s="86"/>
    </row>
    <row r="707" spans="1:12" ht="17.25" x14ac:dyDescent="0.25">
      <c r="A707" s="213"/>
      <c r="B707" s="103" t="s">
        <v>149</v>
      </c>
      <c r="C707" s="130" t="s">
        <v>24</v>
      </c>
      <c r="D707" s="109">
        <v>46174</v>
      </c>
      <c r="E707" s="105">
        <v>46198</v>
      </c>
      <c r="F707" s="110"/>
      <c r="G707" s="107">
        <v>-2142</v>
      </c>
      <c r="H707" s="108">
        <f t="shared" si="155"/>
        <v>25</v>
      </c>
      <c r="I707" s="108">
        <v>55</v>
      </c>
      <c r="J707" s="94">
        <f>+I707*H707*G707</f>
        <v>-2945250</v>
      </c>
      <c r="K707" s="131"/>
      <c r="L707" s="86"/>
    </row>
    <row r="708" spans="1:12" ht="16.5" x14ac:dyDescent="0.25">
      <c r="A708" s="214"/>
      <c r="B708" s="215" t="s">
        <v>20</v>
      </c>
      <c r="C708" s="216"/>
      <c r="D708" s="216"/>
      <c r="E708" s="216"/>
      <c r="F708" s="217"/>
      <c r="G708" s="111">
        <f>SUM(G706:G707)</f>
        <v>21692</v>
      </c>
      <c r="H708" s="108"/>
      <c r="I708" s="108"/>
      <c r="J708" s="69">
        <f>+SUBTOTAL(109,J706:J707)</f>
        <v>37691720</v>
      </c>
      <c r="K708" s="131"/>
      <c r="L708" s="86"/>
    </row>
    <row r="709" spans="1:12" ht="17.25" x14ac:dyDescent="0.25">
      <c r="A709" s="212">
        <v>7</v>
      </c>
      <c r="B709" s="103" t="s">
        <v>0</v>
      </c>
      <c r="C709" s="130" t="s">
        <v>24</v>
      </c>
      <c r="D709" s="105">
        <v>46168</v>
      </c>
      <c r="E709" s="105">
        <v>46198</v>
      </c>
      <c r="F709" s="106">
        <v>211899</v>
      </c>
      <c r="G709" s="107">
        <v>211899</v>
      </c>
      <c r="H709" s="108">
        <f t="shared" ref="H709:H720" si="156">E709-D709+1</f>
        <v>31</v>
      </c>
      <c r="I709" s="108">
        <v>71</v>
      </c>
      <c r="J709" s="94">
        <f t="shared" ref="J709:J720" si="157">+I709*H709*G709</f>
        <v>466389699</v>
      </c>
      <c r="K709" s="131"/>
      <c r="L709" s="86"/>
    </row>
    <row r="710" spans="1:12" ht="17.25" x14ac:dyDescent="0.25">
      <c r="A710" s="213"/>
      <c r="B710" s="103" t="s">
        <v>0</v>
      </c>
      <c r="C710" s="130" t="s">
        <v>24</v>
      </c>
      <c r="D710" s="109">
        <v>46167</v>
      </c>
      <c r="E710" s="105">
        <v>46198</v>
      </c>
      <c r="F710" s="110"/>
      <c r="G710" s="107">
        <v>-6468</v>
      </c>
      <c r="H710" s="108">
        <f t="shared" si="156"/>
        <v>32</v>
      </c>
      <c r="I710" s="108">
        <v>71</v>
      </c>
      <c r="J710" s="94">
        <f t="shared" si="157"/>
        <v>-14695296</v>
      </c>
      <c r="K710" s="131"/>
      <c r="L710" s="86"/>
    </row>
    <row r="711" spans="1:12" ht="17.25" x14ac:dyDescent="0.25">
      <c r="A711" s="213"/>
      <c r="B711" s="103" t="s">
        <v>0</v>
      </c>
      <c r="C711" s="130" t="s">
        <v>24</v>
      </c>
      <c r="D711" s="109">
        <v>46168</v>
      </c>
      <c r="E711" s="105">
        <v>46198</v>
      </c>
      <c r="F711" s="110"/>
      <c r="G711" s="107">
        <v>-2772</v>
      </c>
      <c r="H711" s="108">
        <f t="shared" si="156"/>
        <v>31</v>
      </c>
      <c r="I711" s="108">
        <v>71</v>
      </c>
      <c r="J711" s="94">
        <f t="shared" si="157"/>
        <v>-6101172</v>
      </c>
      <c r="K711" s="131"/>
      <c r="L711" s="86"/>
    </row>
    <row r="712" spans="1:12" ht="17.25" x14ac:dyDescent="0.25">
      <c r="A712" s="213"/>
      <c r="B712" s="103" t="s">
        <v>0</v>
      </c>
      <c r="C712" s="130" t="s">
        <v>24</v>
      </c>
      <c r="D712" s="109">
        <v>46170</v>
      </c>
      <c r="E712" s="105">
        <v>46198</v>
      </c>
      <c r="F712" s="110"/>
      <c r="G712" s="107">
        <v>-2772</v>
      </c>
      <c r="H712" s="108">
        <f t="shared" si="156"/>
        <v>29</v>
      </c>
      <c r="I712" s="108">
        <v>71</v>
      </c>
      <c r="J712" s="94">
        <f t="shared" si="157"/>
        <v>-5707548</v>
      </c>
      <c r="K712" s="131"/>
      <c r="L712" s="86"/>
    </row>
    <row r="713" spans="1:12" ht="17.25" x14ac:dyDescent="0.25">
      <c r="A713" s="213"/>
      <c r="B713" s="103" t="s">
        <v>0</v>
      </c>
      <c r="C713" s="130" t="s">
        <v>24</v>
      </c>
      <c r="D713" s="109">
        <v>46170</v>
      </c>
      <c r="E713" s="105">
        <v>46198</v>
      </c>
      <c r="F713" s="110"/>
      <c r="G713" s="107">
        <v>-5544</v>
      </c>
      <c r="H713" s="108">
        <f t="shared" si="156"/>
        <v>29</v>
      </c>
      <c r="I713" s="108">
        <v>71</v>
      </c>
      <c r="J713" s="94">
        <f t="shared" si="157"/>
        <v>-11415096</v>
      </c>
      <c r="K713" s="131"/>
      <c r="L713" s="86"/>
    </row>
    <row r="714" spans="1:12" ht="17.25" x14ac:dyDescent="0.25">
      <c r="A714" s="213"/>
      <c r="B714" s="103" t="s">
        <v>0</v>
      </c>
      <c r="C714" s="130" t="s">
        <v>24</v>
      </c>
      <c r="D714" s="109">
        <v>46174</v>
      </c>
      <c r="E714" s="105">
        <v>46198</v>
      </c>
      <c r="F714" s="110"/>
      <c r="G714" s="107">
        <v>-2772</v>
      </c>
      <c r="H714" s="108">
        <f t="shared" si="156"/>
        <v>25</v>
      </c>
      <c r="I714" s="108">
        <v>71</v>
      </c>
      <c r="J714" s="94">
        <f t="shared" si="157"/>
        <v>-4920300</v>
      </c>
      <c r="K714" s="131"/>
      <c r="L714" s="86"/>
    </row>
    <row r="715" spans="1:12" ht="17.25" x14ac:dyDescent="0.25">
      <c r="A715" s="213"/>
      <c r="B715" s="103" t="s">
        <v>0</v>
      </c>
      <c r="C715" s="130" t="s">
        <v>24</v>
      </c>
      <c r="D715" s="109">
        <v>46175</v>
      </c>
      <c r="E715" s="105">
        <v>46198</v>
      </c>
      <c r="F715" s="110"/>
      <c r="G715" s="107">
        <v>-4620</v>
      </c>
      <c r="H715" s="108">
        <f t="shared" si="156"/>
        <v>24</v>
      </c>
      <c r="I715" s="108">
        <v>71</v>
      </c>
      <c r="J715" s="94">
        <f t="shared" si="157"/>
        <v>-7872480</v>
      </c>
      <c r="K715" s="131"/>
      <c r="L715" s="86"/>
    </row>
    <row r="716" spans="1:12" ht="17.25" x14ac:dyDescent="0.25">
      <c r="A716" s="213"/>
      <c r="B716" s="103" t="s">
        <v>0</v>
      </c>
      <c r="C716" s="130" t="s">
        <v>24</v>
      </c>
      <c r="D716" s="109">
        <v>46182</v>
      </c>
      <c r="E716" s="105">
        <v>46198</v>
      </c>
      <c r="F716" s="110"/>
      <c r="G716" s="107">
        <v>-5544</v>
      </c>
      <c r="H716" s="108">
        <f t="shared" si="156"/>
        <v>17</v>
      </c>
      <c r="I716" s="108">
        <v>71</v>
      </c>
      <c r="J716" s="94">
        <f t="shared" si="157"/>
        <v>-6691608</v>
      </c>
      <c r="K716" s="131"/>
      <c r="L716" s="86"/>
    </row>
    <row r="717" spans="1:12" ht="17.25" x14ac:dyDescent="0.25">
      <c r="A717" s="213"/>
      <c r="B717" s="103" t="s">
        <v>0</v>
      </c>
      <c r="C717" s="130" t="s">
        <v>24</v>
      </c>
      <c r="D717" s="109">
        <v>46183</v>
      </c>
      <c r="E717" s="105">
        <v>46198</v>
      </c>
      <c r="F717" s="110"/>
      <c r="G717" s="107">
        <v>-3696</v>
      </c>
      <c r="H717" s="108">
        <f t="shared" si="156"/>
        <v>16</v>
      </c>
      <c r="I717" s="108">
        <v>71</v>
      </c>
      <c r="J717" s="94">
        <f t="shared" si="157"/>
        <v>-4198656</v>
      </c>
      <c r="K717" s="131"/>
      <c r="L717" s="86"/>
    </row>
    <row r="718" spans="1:12" ht="17.25" x14ac:dyDescent="0.25">
      <c r="A718" s="213"/>
      <c r="B718" s="103" t="s">
        <v>0</v>
      </c>
      <c r="C718" s="130" t="s">
        <v>24</v>
      </c>
      <c r="D718" s="109">
        <v>46190</v>
      </c>
      <c r="E718" s="105">
        <v>46198</v>
      </c>
      <c r="F718" s="110"/>
      <c r="G718" s="107">
        <v>-6006</v>
      </c>
      <c r="H718" s="108">
        <f t="shared" si="156"/>
        <v>9</v>
      </c>
      <c r="I718" s="108">
        <v>71</v>
      </c>
      <c r="J718" s="94">
        <f t="shared" si="157"/>
        <v>-3837834</v>
      </c>
      <c r="K718" s="131"/>
      <c r="L718" s="86"/>
    </row>
    <row r="719" spans="1:12" ht="17.25" x14ac:dyDescent="0.25">
      <c r="A719" s="213"/>
      <c r="B719" s="103" t="s">
        <v>0</v>
      </c>
      <c r="C719" s="130" t="s">
        <v>24</v>
      </c>
      <c r="D719" s="109">
        <v>46194</v>
      </c>
      <c r="E719" s="105">
        <v>46198</v>
      </c>
      <c r="F719" s="110"/>
      <c r="G719" s="107">
        <v>-3696</v>
      </c>
      <c r="H719" s="108">
        <f t="shared" si="156"/>
        <v>5</v>
      </c>
      <c r="I719" s="108">
        <v>71</v>
      </c>
      <c r="J719" s="94">
        <f t="shared" si="157"/>
        <v>-1312080</v>
      </c>
      <c r="K719" s="131"/>
      <c r="L719" s="86"/>
    </row>
    <row r="720" spans="1:12" ht="17.25" x14ac:dyDescent="0.25">
      <c r="A720" s="213"/>
      <c r="B720" s="103" t="s">
        <v>0</v>
      </c>
      <c r="C720" s="130" t="s">
        <v>24</v>
      </c>
      <c r="D720" s="109">
        <v>46198</v>
      </c>
      <c r="E720" s="105">
        <v>46198</v>
      </c>
      <c r="F720" s="110"/>
      <c r="G720" s="107">
        <v>-3696</v>
      </c>
      <c r="H720" s="108">
        <f t="shared" si="156"/>
        <v>1</v>
      </c>
      <c r="I720" s="108">
        <v>71</v>
      </c>
      <c r="J720" s="94">
        <f t="shared" si="157"/>
        <v>-262416</v>
      </c>
      <c r="K720" s="131"/>
      <c r="L720" s="86"/>
    </row>
    <row r="721" spans="1:12" ht="16.5" x14ac:dyDescent="0.25">
      <c r="A721" s="214"/>
      <c r="B721" s="215" t="s">
        <v>20</v>
      </c>
      <c r="C721" s="216"/>
      <c r="D721" s="216"/>
      <c r="E721" s="216"/>
      <c r="F721" s="217"/>
      <c r="G721" s="111">
        <f>SUM(G709:G720)</f>
        <v>164313</v>
      </c>
      <c r="H721" s="108"/>
      <c r="I721" s="108"/>
      <c r="J721" s="69">
        <f>+SUBTOTAL(109,J709:J720)</f>
        <v>399375213</v>
      </c>
      <c r="K721" s="131"/>
      <c r="L721" s="86"/>
    </row>
    <row r="722" spans="1:12" ht="16.5" x14ac:dyDescent="0.25">
      <c r="A722" s="212">
        <v>8</v>
      </c>
      <c r="B722" s="103" t="s">
        <v>150</v>
      </c>
      <c r="C722" s="130" t="s">
        <v>24</v>
      </c>
      <c r="D722" s="105">
        <v>46168</v>
      </c>
      <c r="E722" s="105">
        <v>46198</v>
      </c>
      <c r="F722" s="111">
        <v>33150</v>
      </c>
      <c r="G722" s="112">
        <v>33150</v>
      </c>
      <c r="H722" s="108">
        <f t="shared" ref="H722:H724" si="158">E722-D722+1</f>
        <v>31</v>
      </c>
      <c r="I722" s="113">
        <v>70</v>
      </c>
      <c r="J722" s="94">
        <f>+I722*H722*G722</f>
        <v>71935500</v>
      </c>
      <c r="K722" s="131"/>
      <c r="L722" s="86"/>
    </row>
    <row r="723" spans="1:12" ht="16.5" x14ac:dyDescent="0.25">
      <c r="A723" s="213"/>
      <c r="B723" s="103" t="s">
        <v>150</v>
      </c>
      <c r="C723" s="130" t="s">
        <v>24</v>
      </c>
      <c r="D723" s="105">
        <v>46191</v>
      </c>
      <c r="E723" s="105">
        <v>46198</v>
      </c>
      <c r="F723" s="111"/>
      <c r="G723" s="112">
        <v>-380</v>
      </c>
      <c r="H723" s="108">
        <f t="shared" si="158"/>
        <v>8</v>
      </c>
      <c r="I723" s="113">
        <v>70</v>
      </c>
      <c r="J723" s="94">
        <f t="shared" ref="J723:J724" si="159">+I723*H723*G723</f>
        <v>-212800</v>
      </c>
      <c r="K723" s="131"/>
      <c r="L723" s="86"/>
    </row>
    <row r="724" spans="1:12" ht="16.5" x14ac:dyDescent="0.25">
      <c r="A724" s="213"/>
      <c r="B724" s="103" t="s">
        <v>150</v>
      </c>
      <c r="C724" s="130" t="s">
        <v>24</v>
      </c>
      <c r="D724" s="105">
        <v>46197</v>
      </c>
      <c r="E724" s="105">
        <v>46198</v>
      </c>
      <c r="F724" s="111"/>
      <c r="G724" s="112">
        <v>-1240</v>
      </c>
      <c r="H724" s="108">
        <f t="shared" si="158"/>
        <v>2</v>
      </c>
      <c r="I724" s="113">
        <v>70</v>
      </c>
      <c r="J724" s="94">
        <f t="shared" si="159"/>
        <v>-173600</v>
      </c>
      <c r="K724" s="131"/>
      <c r="L724" s="86"/>
    </row>
    <row r="725" spans="1:12" ht="16.5" x14ac:dyDescent="0.25">
      <c r="A725" s="214"/>
      <c r="B725" s="215" t="s">
        <v>20</v>
      </c>
      <c r="C725" s="216"/>
      <c r="D725" s="216"/>
      <c r="E725" s="216"/>
      <c r="F725" s="217"/>
      <c r="G725" s="111">
        <f>SUM(G722:G724)</f>
        <v>31530</v>
      </c>
      <c r="H725" s="108"/>
      <c r="I725" s="108"/>
      <c r="J725" s="69">
        <f>+SUBTOTAL(109,J722:J724)</f>
        <v>71549100</v>
      </c>
      <c r="K725" s="131"/>
      <c r="L725" s="86"/>
    </row>
    <row r="726" spans="1:12" ht="17.25" x14ac:dyDescent="0.25">
      <c r="A726" s="212">
        <v>9</v>
      </c>
      <c r="B726" s="103" t="s">
        <v>151</v>
      </c>
      <c r="C726" s="130" t="s">
        <v>24</v>
      </c>
      <c r="D726" s="105">
        <v>46168</v>
      </c>
      <c r="E726" s="105">
        <v>46198</v>
      </c>
      <c r="F726" s="106">
        <v>31850</v>
      </c>
      <c r="G726" s="107">
        <v>31850</v>
      </c>
      <c r="H726" s="108">
        <f t="shared" ref="H726:H729" si="160">E726-D726+1</f>
        <v>31</v>
      </c>
      <c r="I726" s="108">
        <v>70</v>
      </c>
      <c r="J726" s="94">
        <f>+I726*H726*G726</f>
        <v>69114500</v>
      </c>
      <c r="K726" s="131"/>
      <c r="L726" s="86"/>
    </row>
    <row r="727" spans="1:12" ht="17.25" x14ac:dyDescent="0.25">
      <c r="A727" s="213"/>
      <c r="B727" s="103" t="s">
        <v>151</v>
      </c>
      <c r="C727" s="130" t="s">
        <v>24</v>
      </c>
      <c r="D727" s="105">
        <v>46182</v>
      </c>
      <c r="E727" s="105">
        <v>46198</v>
      </c>
      <c r="F727" s="106"/>
      <c r="G727" s="107">
        <v>-750</v>
      </c>
      <c r="H727" s="108">
        <f t="shared" si="160"/>
        <v>17</v>
      </c>
      <c r="I727" s="108">
        <v>70</v>
      </c>
      <c r="J727" s="94">
        <f t="shared" ref="J727:J729" si="161">+I727*H727*G727</f>
        <v>-892500</v>
      </c>
      <c r="K727" s="131"/>
      <c r="L727" s="86"/>
    </row>
    <row r="728" spans="1:12" ht="17.25" x14ac:dyDescent="0.25">
      <c r="A728" s="213"/>
      <c r="B728" s="103" t="s">
        <v>151</v>
      </c>
      <c r="C728" s="130" t="s">
        <v>24</v>
      </c>
      <c r="D728" s="105">
        <v>46191</v>
      </c>
      <c r="E728" s="105">
        <v>46198</v>
      </c>
      <c r="F728" s="106"/>
      <c r="G728" s="107">
        <v>-1581</v>
      </c>
      <c r="H728" s="108">
        <f t="shared" si="160"/>
        <v>8</v>
      </c>
      <c r="I728" s="108">
        <v>70</v>
      </c>
      <c r="J728" s="94">
        <f t="shared" si="161"/>
        <v>-885360</v>
      </c>
      <c r="K728" s="131"/>
      <c r="L728" s="86"/>
    </row>
    <row r="729" spans="1:12" ht="17.25" x14ac:dyDescent="0.25">
      <c r="A729" s="213"/>
      <c r="B729" s="103" t="s">
        <v>151</v>
      </c>
      <c r="C729" s="130" t="s">
        <v>24</v>
      </c>
      <c r="D729" s="105">
        <v>46197</v>
      </c>
      <c r="E729" s="105">
        <v>46198</v>
      </c>
      <c r="F729" s="106"/>
      <c r="G729" s="107">
        <v>-420</v>
      </c>
      <c r="H729" s="108">
        <f t="shared" si="160"/>
        <v>2</v>
      </c>
      <c r="I729" s="108">
        <v>70</v>
      </c>
      <c r="J729" s="94">
        <f t="shared" si="161"/>
        <v>-58800</v>
      </c>
      <c r="K729" s="131"/>
      <c r="L729" s="86"/>
    </row>
    <row r="730" spans="1:12" ht="16.5" x14ac:dyDescent="0.25">
      <c r="A730" s="214"/>
      <c r="B730" s="215" t="s">
        <v>20</v>
      </c>
      <c r="C730" s="216"/>
      <c r="D730" s="216"/>
      <c r="E730" s="216"/>
      <c r="F730" s="217"/>
      <c r="G730" s="111">
        <f>SUM(G726:G729)</f>
        <v>29099</v>
      </c>
      <c r="H730" s="108"/>
      <c r="I730" s="108"/>
      <c r="J730" s="69">
        <f>+SUBTOTAL(109,J726:J729)</f>
        <v>67277840</v>
      </c>
      <c r="K730" s="131"/>
      <c r="L730" s="86"/>
    </row>
    <row r="731" spans="1:12" ht="17.25" x14ac:dyDescent="0.25">
      <c r="A731" s="212">
        <v>10</v>
      </c>
      <c r="B731" s="103" t="s">
        <v>171</v>
      </c>
      <c r="C731" s="130" t="s">
        <v>24</v>
      </c>
      <c r="D731" s="105">
        <v>46168</v>
      </c>
      <c r="E731" s="105">
        <v>46198</v>
      </c>
      <c r="F731" s="106">
        <v>1000</v>
      </c>
      <c r="G731" s="107">
        <f>+F731</f>
        <v>1000</v>
      </c>
      <c r="H731" s="108">
        <f t="shared" ref="H731" si="162">E731-D731+1</f>
        <v>31</v>
      </c>
      <c r="I731" s="108">
        <v>45</v>
      </c>
      <c r="J731" s="94">
        <f>+I731*H731*G731</f>
        <v>1395000</v>
      </c>
      <c r="K731" s="131"/>
      <c r="L731" s="86"/>
    </row>
    <row r="732" spans="1:12" ht="16.5" x14ac:dyDescent="0.25">
      <c r="A732" s="214"/>
      <c r="B732" s="215" t="s">
        <v>20</v>
      </c>
      <c r="C732" s="216"/>
      <c r="D732" s="216"/>
      <c r="E732" s="216"/>
      <c r="F732" s="217"/>
      <c r="G732" s="111">
        <f>SUM(G731:G731)</f>
        <v>1000</v>
      </c>
      <c r="H732" s="114"/>
      <c r="I732" s="108"/>
      <c r="J732" s="69">
        <f>+SUBTOTAL(109,J731:J731)</f>
        <v>1395000</v>
      </c>
      <c r="K732" s="131"/>
      <c r="L732" s="86"/>
    </row>
    <row r="733" spans="1:12" ht="16.5" x14ac:dyDescent="0.25">
      <c r="A733" s="128" t="str">
        <f>ROMAN(2,0)</f>
        <v>II</v>
      </c>
      <c r="B733" s="116" t="s">
        <v>56</v>
      </c>
      <c r="C733" s="128"/>
      <c r="D733" s="128"/>
      <c r="E733" s="128"/>
      <c r="F733" s="128"/>
      <c r="G733" s="111"/>
      <c r="H733" s="114"/>
      <c r="I733" s="114"/>
      <c r="J733" s="87"/>
      <c r="K733" s="97"/>
      <c r="L733" s="86"/>
    </row>
    <row r="734" spans="1:12" ht="33" x14ac:dyDescent="0.25">
      <c r="A734" s="130">
        <v>1</v>
      </c>
      <c r="B734" s="19" t="s">
        <v>58</v>
      </c>
      <c r="C734" s="130" t="s">
        <v>57</v>
      </c>
      <c r="D734" s="130"/>
      <c r="E734" s="128"/>
      <c r="F734" s="117">
        <f>73-8</f>
        <v>65</v>
      </c>
      <c r="G734" s="117">
        <v>15</v>
      </c>
      <c r="H734" s="108"/>
      <c r="I734" s="118">
        <v>5000000</v>
      </c>
      <c r="J734" s="136">
        <f>G734*I734</f>
        <v>75000000</v>
      </c>
      <c r="K734" s="137" t="s">
        <v>299</v>
      </c>
      <c r="L734" s="85">
        <f>J670+J680+J688+J700+J705+J708+J721+J725+J730+J732+J734</f>
        <v>1120798558</v>
      </c>
    </row>
    <row r="735" spans="1:12" ht="16.5" x14ac:dyDescent="0.25">
      <c r="A735" s="130">
        <v>2</v>
      </c>
      <c r="B735" s="19" t="s">
        <v>73</v>
      </c>
      <c r="C735" s="130" t="s">
        <v>57</v>
      </c>
      <c r="D735" s="130"/>
      <c r="E735" s="128"/>
      <c r="F735" s="117">
        <v>1</v>
      </c>
      <c r="G735" s="117"/>
      <c r="H735" s="114"/>
      <c r="I735" s="118">
        <v>4500000</v>
      </c>
      <c r="J735" s="87"/>
      <c r="K735" s="97"/>
      <c r="L735" s="86"/>
    </row>
    <row r="736" spans="1:12" ht="16.5" x14ac:dyDescent="0.25">
      <c r="A736" s="210" t="s">
        <v>296</v>
      </c>
      <c r="B736" s="210"/>
      <c r="C736" s="210"/>
      <c r="D736" s="210"/>
      <c r="E736" s="210"/>
      <c r="F736" s="210"/>
      <c r="G736" s="210"/>
      <c r="H736" s="210"/>
      <c r="I736" s="210"/>
      <c r="J736" s="69">
        <f>SUBTOTAL(9,J662:J735)</f>
        <v>1120798558</v>
      </c>
      <c r="K736" s="98"/>
      <c r="L736" s="86"/>
    </row>
    <row r="737" spans="1:12" ht="16.5" x14ac:dyDescent="0.25">
      <c r="A737" s="211" t="s">
        <v>54</v>
      </c>
      <c r="B737" s="211"/>
      <c r="C737" s="211"/>
      <c r="D737" s="211"/>
      <c r="E737" s="211"/>
      <c r="F737" s="211"/>
      <c r="G737" s="211"/>
      <c r="H737" s="211"/>
      <c r="I737" s="211"/>
      <c r="J737" s="89">
        <f>ROUND(J736*8%,0)</f>
        <v>89663885</v>
      </c>
      <c r="K737" s="129"/>
      <c r="L737" s="86"/>
    </row>
    <row r="738" spans="1:12" ht="16.5" x14ac:dyDescent="0.25">
      <c r="A738" s="211" t="s">
        <v>27</v>
      </c>
      <c r="B738" s="211"/>
      <c r="C738" s="211"/>
      <c r="D738" s="211"/>
      <c r="E738" s="211"/>
      <c r="F738" s="211"/>
      <c r="G738" s="211"/>
      <c r="H738" s="211"/>
      <c r="I738" s="211"/>
      <c r="J738" s="69">
        <f>+J736+J737</f>
        <v>1210462443</v>
      </c>
      <c r="K738" s="129"/>
      <c r="L738" s="86"/>
    </row>
    <row r="739" spans="1:12" ht="16.5" x14ac:dyDescent="0.25">
      <c r="A739" s="99" t="s">
        <v>123</v>
      </c>
      <c r="B739" s="100" t="s">
        <v>300</v>
      </c>
      <c r="C739" s="132"/>
      <c r="D739" s="132"/>
      <c r="E739" s="132"/>
      <c r="F739" s="132"/>
      <c r="G739" s="132"/>
      <c r="H739" s="132"/>
      <c r="I739" s="132"/>
      <c r="J739" s="90"/>
      <c r="K739" s="132"/>
      <c r="L739" s="1"/>
    </row>
    <row r="740" spans="1:12" ht="16.5" x14ac:dyDescent="0.25">
      <c r="A740" s="5" t="s">
        <v>60</v>
      </c>
      <c r="B740" s="5"/>
      <c r="C740" s="30"/>
      <c r="D740" s="30"/>
      <c r="E740" s="30"/>
      <c r="F740" s="5"/>
      <c r="G740" s="5"/>
      <c r="H740" s="5"/>
      <c r="I740" s="5"/>
      <c r="J740" s="5"/>
      <c r="K740" s="102"/>
      <c r="L740" s="86"/>
    </row>
    <row r="741" spans="1:12" ht="15.75" x14ac:dyDescent="0.25">
      <c r="A741" s="197" t="s">
        <v>21</v>
      </c>
      <c r="B741" s="197"/>
      <c r="C741" s="197"/>
      <c r="D741" s="197"/>
      <c r="E741" s="197" t="s">
        <v>22</v>
      </c>
      <c r="F741" s="197"/>
      <c r="G741" s="197"/>
      <c r="H741" s="197"/>
      <c r="I741" s="197"/>
      <c r="J741" s="197"/>
      <c r="K741" s="197"/>
      <c r="L741" s="86"/>
    </row>
    <row r="746" spans="1:12" ht="15.75" x14ac:dyDescent="0.25">
      <c r="A746" s="197" t="s">
        <v>1</v>
      </c>
      <c r="B746" s="197"/>
      <c r="C746" s="197"/>
      <c r="D746" s="197"/>
      <c r="E746" s="197"/>
      <c r="F746" s="197"/>
      <c r="G746" s="197"/>
      <c r="H746" s="197"/>
      <c r="I746" s="197"/>
      <c r="J746" s="197"/>
      <c r="K746" s="197"/>
    </row>
    <row r="747" spans="1:12" ht="15.75" x14ac:dyDescent="0.25">
      <c r="A747" s="197" t="s">
        <v>2</v>
      </c>
      <c r="B747" s="197"/>
      <c r="C747" s="197"/>
      <c r="D747" s="197"/>
      <c r="E747" s="197"/>
      <c r="F747" s="197"/>
      <c r="G747" s="197"/>
      <c r="H747" s="197"/>
      <c r="I747" s="197"/>
      <c r="J747" s="197"/>
      <c r="K747" s="197"/>
    </row>
    <row r="748" spans="1:12" x14ac:dyDescent="0.25">
      <c r="A748" s="18"/>
      <c r="B748" s="18"/>
      <c r="C748" s="18"/>
      <c r="D748" s="18"/>
      <c r="E748" s="18"/>
      <c r="F748" s="18"/>
      <c r="G748" s="18"/>
      <c r="H748" s="18"/>
      <c r="I748" s="18"/>
      <c r="J748" s="18"/>
      <c r="K748" s="18"/>
    </row>
    <row r="749" spans="1:12" ht="20.25" x14ac:dyDescent="0.25">
      <c r="A749" s="204" t="s">
        <v>29</v>
      </c>
      <c r="B749" s="204"/>
      <c r="C749" s="204"/>
      <c r="D749" s="204"/>
      <c r="E749" s="204"/>
      <c r="F749" s="204"/>
      <c r="G749" s="204"/>
      <c r="H749" s="204"/>
      <c r="I749" s="204"/>
      <c r="J749" s="204"/>
      <c r="K749" s="204"/>
    </row>
    <row r="750" spans="1:12" ht="15.75" x14ac:dyDescent="0.25">
      <c r="A750" s="197" t="s">
        <v>302</v>
      </c>
      <c r="B750" s="197"/>
      <c r="C750" s="197"/>
      <c r="D750" s="197"/>
      <c r="E750" s="197"/>
      <c r="F750" s="197"/>
      <c r="G750" s="197"/>
      <c r="H750" s="197"/>
      <c r="I750" s="197"/>
      <c r="J750" s="197"/>
      <c r="K750" s="197"/>
    </row>
    <row r="751" spans="1:12" ht="15.75" x14ac:dyDescent="0.25">
      <c r="A751" s="141"/>
      <c r="B751" s="141"/>
      <c r="C751" s="141"/>
      <c r="D751" s="141"/>
      <c r="E751" s="141"/>
      <c r="F751" s="141"/>
      <c r="G751" s="141"/>
      <c r="H751" s="141"/>
      <c r="I751" s="141"/>
      <c r="J751" s="141"/>
      <c r="K751" s="141"/>
    </row>
    <row r="752" spans="1:12" ht="36" customHeight="1" x14ac:dyDescent="0.25">
      <c r="A752" s="219" t="str">
        <f>ĐCCN!$A$7</f>
        <v>- Căn cứ Hợp đồng kinh tế số 0412/HĐKT2025/TP-VIETPANEL ký ngày 04/12/2025 giữa Công ty TNHH xây dựng Việt Panel và Công ty Cổ phần Tập đoàn Thiết bị xây dựng TP về việc cho thuê thiết bị xây dựng.</v>
      </c>
      <c r="B752" s="219"/>
      <c r="C752" s="219"/>
      <c r="D752" s="219"/>
      <c r="E752" s="219"/>
      <c r="F752" s="219"/>
      <c r="G752" s="219"/>
      <c r="H752" s="219"/>
      <c r="I752" s="219"/>
      <c r="J752" s="219"/>
      <c r="K752" s="219"/>
    </row>
    <row r="753" spans="1:11" ht="16.5" x14ac:dyDescent="0.25">
      <c r="A753" s="6" t="s">
        <v>51</v>
      </c>
      <c r="B753" s="5" t="s">
        <v>144</v>
      </c>
      <c r="C753" s="30"/>
      <c r="D753" s="30"/>
      <c r="E753" s="30"/>
      <c r="F753" s="5"/>
      <c r="G753" s="5"/>
      <c r="H753" s="5"/>
      <c r="I753" s="5"/>
      <c r="J753" s="5"/>
      <c r="K753" s="30"/>
    </row>
    <row r="754" spans="1:11" ht="16.5" x14ac:dyDescent="0.25">
      <c r="A754" s="6" t="s">
        <v>59</v>
      </c>
      <c r="B754" s="6" t="s">
        <v>145</v>
      </c>
      <c r="C754" s="30"/>
      <c r="D754" s="30"/>
      <c r="E754" s="30"/>
      <c r="F754" s="5"/>
      <c r="G754" s="5"/>
      <c r="H754" s="5"/>
      <c r="I754" s="5"/>
      <c r="J754" s="5"/>
      <c r="K754" s="30"/>
    </row>
    <row r="755" spans="1:11" ht="16.5" x14ac:dyDescent="0.25">
      <c r="A755" s="6" t="s">
        <v>311</v>
      </c>
      <c r="B755" s="5"/>
      <c r="C755" s="30"/>
      <c r="D755" s="30"/>
      <c r="E755" s="30"/>
      <c r="F755" s="5"/>
      <c r="G755" s="5"/>
      <c r="H755" s="5"/>
      <c r="I755" s="5"/>
      <c r="J755" s="5"/>
      <c r="K755" s="30"/>
    </row>
    <row r="756" spans="1:11" ht="16.5" x14ac:dyDescent="0.25">
      <c r="A756" s="5" t="s">
        <v>172</v>
      </c>
      <c r="B756" s="5"/>
      <c r="C756" s="30"/>
      <c r="D756" s="30"/>
      <c r="E756" s="30"/>
      <c r="F756" s="5"/>
      <c r="G756" s="5"/>
      <c r="H756" s="5"/>
      <c r="I756" s="5"/>
      <c r="J756" s="5"/>
      <c r="K756" s="30"/>
    </row>
    <row r="757" spans="1:11" ht="16.5" x14ac:dyDescent="0.25">
      <c r="A757" s="7" t="str">
        <f>$A$12</f>
        <v>BÊN THUÊ (BÊN A): CÔNG TY TNHH XÂY DỰNG VIỆT PANEL</v>
      </c>
      <c r="B757" s="7"/>
      <c r="C757" s="150"/>
      <c r="D757" s="150"/>
      <c r="E757" s="150"/>
      <c r="F757" s="7"/>
      <c r="G757" s="7"/>
      <c r="H757" s="7"/>
      <c r="I757" s="7"/>
      <c r="J757" s="7"/>
      <c r="K757" s="150"/>
    </row>
    <row r="758" spans="1:11" ht="16.5" x14ac:dyDescent="0.25">
      <c r="A758" s="5" t="s">
        <v>125</v>
      </c>
      <c r="B758" s="5" t="str">
        <f>ĐCCN!$C$9</f>
        <v>Thôn Đông Phù, Xã Tiên Du, Tỉnh Bắc Ninh, Việt Nam</v>
      </c>
      <c r="C758" s="30"/>
      <c r="D758" s="30"/>
      <c r="E758" s="30"/>
      <c r="F758" s="5"/>
      <c r="G758" s="5"/>
      <c r="H758" s="5"/>
      <c r="I758" s="5"/>
      <c r="J758" s="5"/>
      <c r="K758" s="30"/>
    </row>
    <row r="759" spans="1:11" ht="16.5" x14ac:dyDescent="0.25">
      <c r="A759" s="5" t="s">
        <v>5</v>
      </c>
      <c r="B759" s="5"/>
      <c r="C759" s="198" t="str">
        <f>ĐCCN!$C$10</f>
        <v>0222 6535 699</v>
      </c>
      <c r="D759" s="208"/>
      <c r="E759" s="5"/>
      <c r="F759" s="5"/>
      <c r="G759" s="5"/>
      <c r="H759" s="5"/>
      <c r="I759" s="5"/>
      <c r="J759" s="5"/>
      <c r="K759" s="30"/>
    </row>
    <row r="760" spans="1:11" ht="16.5" x14ac:dyDescent="0.25">
      <c r="A760" s="5" t="s">
        <v>4</v>
      </c>
      <c r="B760" s="5"/>
      <c r="C760" s="209">
        <f>ĐCCN!$C$11</f>
        <v>616139999</v>
      </c>
      <c r="D760" s="209"/>
      <c r="E760" s="145" t="str">
        <f>ĐCCN!$E$11</f>
        <v>Tại MB Ngân hàng quân đội</v>
      </c>
      <c r="F760" s="5"/>
      <c r="G760" s="5"/>
      <c r="H760" s="5"/>
      <c r="I760" s="5"/>
      <c r="J760" s="5"/>
      <c r="K760" s="30"/>
    </row>
    <row r="761" spans="1:11" ht="16.5" x14ac:dyDescent="0.25">
      <c r="A761" s="5" t="s">
        <v>6</v>
      </c>
      <c r="B761" s="6"/>
      <c r="C761" s="198" t="str">
        <f>ĐCCN!$C$12</f>
        <v>2300856941</v>
      </c>
      <c r="D761" s="198"/>
      <c r="E761" s="6"/>
      <c r="F761" s="6"/>
      <c r="G761" s="5"/>
      <c r="H761" s="5"/>
      <c r="I761" s="5"/>
      <c r="J761" s="5"/>
      <c r="K761" s="30"/>
    </row>
    <row r="762" spans="1:11" ht="16.5" x14ac:dyDescent="0.25">
      <c r="A762" s="5" t="s">
        <v>7</v>
      </c>
      <c r="B762" s="5"/>
      <c r="C762" s="7" t="str">
        <f>ĐCCN!$C$13</f>
        <v>Ông Lưu Đình Cải</v>
      </c>
      <c r="D762" s="150"/>
      <c r="E762" s="5" t="str">
        <f>ĐCCN!$E$13</f>
        <v>Chức vụ: Giám đốc</v>
      </c>
      <c r="F762" s="5"/>
      <c r="G762" s="5"/>
      <c r="H762" s="5"/>
      <c r="I762" s="5"/>
      <c r="J762" s="5"/>
      <c r="K762" s="30"/>
    </row>
    <row r="763" spans="1:11" ht="16.5" x14ac:dyDescent="0.25">
      <c r="A763" s="5"/>
      <c r="B763" s="5"/>
      <c r="C763" s="30"/>
      <c r="D763" s="30"/>
      <c r="E763" s="30"/>
      <c r="F763" s="5"/>
      <c r="G763" s="5"/>
      <c r="H763" s="5"/>
      <c r="I763" s="5"/>
      <c r="J763" s="5"/>
      <c r="K763" s="30"/>
    </row>
    <row r="764" spans="1:11" ht="16.5" x14ac:dyDescent="0.25">
      <c r="A764" s="7" t="s">
        <v>8</v>
      </c>
      <c r="B764" s="7"/>
      <c r="C764" s="150"/>
      <c r="D764" s="150"/>
      <c r="E764" s="150"/>
      <c r="F764" s="7"/>
      <c r="G764" s="7"/>
      <c r="H764" s="7"/>
      <c r="I764" s="7"/>
      <c r="J764" s="7"/>
      <c r="K764" s="150"/>
    </row>
    <row r="765" spans="1:11" ht="16.5" x14ac:dyDescent="0.25">
      <c r="A765" s="5" t="s">
        <v>115</v>
      </c>
      <c r="B765" s="5"/>
      <c r="C765" s="30"/>
      <c r="D765" s="30"/>
      <c r="E765" s="30"/>
      <c r="F765" s="5"/>
      <c r="G765" s="5"/>
      <c r="H765" s="5"/>
      <c r="I765" s="5"/>
      <c r="J765" s="5"/>
      <c r="K765" s="30"/>
    </row>
    <row r="766" spans="1:11" ht="16.5" x14ac:dyDescent="0.25">
      <c r="A766" s="5" t="s">
        <v>5</v>
      </c>
      <c r="B766" s="5"/>
      <c r="C766" s="6" t="s">
        <v>9</v>
      </c>
      <c r="D766" s="24"/>
      <c r="E766" s="30"/>
      <c r="F766" s="5"/>
      <c r="G766" s="5"/>
      <c r="H766" s="5"/>
      <c r="I766" s="5"/>
      <c r="J766" s="5"/>
      <c r="K766" s="30"/>
    </row>
    <row r="767" spans="1:11" ht="16.5" x14ac:dyDescent="0.25">
      <c r="A767" s="5" t="s">
        <v>10</v>
      </c>
      <c r="B767" s="5"/>
      <c r="C767" s="32" t="str">
        <f>$C$22</f>
        <v>8331100096008</v>
      </c>
      <c r="D767" s="17"/>
      <c r="E767" s="201" t="str">
        <f>$E$22</f>
        <v>Tại Ngân hàng Thương mại cổ phần Quân đội - Chi nhánh Hoàng Quốc Việt</v>
      </c>
      <c r="F767" s="201"/>
      <c r="G767" s="201"/>
      <c r="H767" s="201"/>
      <c r="I767" s="201"/>
      <c r="J767" s="201"/>
      <c r="K767" s="201"/>
    </row>
    <row r="768" spans="1:11" ht="16.5" x14ac:dyDescent="0.25">
      <c r="A768" s="5" t="s">
        <v>6</v>
      </c>
      <c r="B768" s="5"/>
      <c r="C768" s="6" t="s">
        <v>19</v>
      </c>
      <c r="D768" s="24"/>
      <c r="E768" s="145"/>
      <c r="F768" s="5"/>
      <c r="G768" s="5"/>
      <c r="H768" s="5"/>
      <c r="I768" s="5"/>
      <c r="J768" s="5"/>
      <c r="K768" s="30"/>
    </row>
    <row r="769" spans="1:14" ht="16.5" x14ac:dyDescent="0.25">
      <c r="A769" s="5" t="s">
        <v>7</v>
      </c>
      <c r="B769" s="5"/>
      <c r="C769" s="7" t="s">
        <v>116</v>
      </c>
      <c r="D769" s="150"/>
      <c r="E769" s="145" t="s">
        <v>117</v>
      </c>
      <c r="F769" s="5"/>
      <c r="G769" s="5"/>
      <c r="H769" s="5"/>
      <c r="I769" s="5"/>
      <c r="J769" s="5"/>
      <c r="K769" s="30"/>
    </row>
    <row r="770" spans="1:14" ht="16.5" x14ac:dyDescent="0.25">
      <c r="A770" s="5"/>
      <c r="B770" s="5"/>
      <c r="C770" s="30"/>
      <c r="D770" s="30"/>
      <c r="E770" s="30"/>
      <c r="F770" s="5"/>
      <c r="G770" s="5"/>
      <c r="H770" s="5"/>
      <c r="I770" s="5"/>
      <c r="J770" s="5"/>
      <c r="K770" s="30"/>
    </row>
    <row r="771" spans="1:14" ht="16.5" x14ac:dyDescent="0.25">
      <c r="A771" s="5" t="s">
        <v>304</v>
      </c>
      <c r="B771" s="5"/>
      <c r="C771" s="30"/>
      <c r="D771" s="30"/>
      <c r="E771" s="30"/>
      <c r="F771" s="5"/>
      <c r="G771" s="5"/>
      <c r="H771" s="5"/>
      <c r="I771" s="5"/>
      <c r="J771" s="5"/>
      <c r="K771" s="30"/>
      <c r="M771" s="72"/>
    </row>
    <row r="773" spans="1:14" ht="66" x14ac:dyDescent="0.25">
      <c r="A773" s="3" t="s">
        <v>12</v>
      </c>
      <c r="B773" s="3" t="s">
        <v>13</v>
      </c>
      <c r="C773" s="3" t="s">
        <v>23</v>
      </c>
      <c r="D773" s="3" t="s">
        <v>61</v>
      </c>
      <c r="E773" s="3" t="s">
        <v>14</v>
      </c>
      <c r="F773" s="3" t="s">
        <v>15</v>
      </c>
      <c r="G773" s="3" t="s">
        <v>16</v>
      </c>
      <c r="H773" s="3" t="s">
        <v>17</v>
      </c>
      <c r="I773" s="3" t="s">
        <v>26</v>
      </c>
      <c r="J773" s="146" t="s">
        <v>25</v>
      </c>
      <c r="K773" s="146" t="s">
        <v>18</v>
      </c>
      <c r="L773" s="85">
        <f>+G783+G793+G801+G813+G820+G827+G840+G846+G852+G855</f>
        <v>316701</v>
      </c>
      <c r="M773" s="119"/>
      <c r="N773" s="72"/>
    </row>
    <row r="774" spans="1:14" ht="16.5" x14ac:dyDescent="0.25">
      <c r="A774" s="3" t="str">
        <f>ROMAN(1,0)</f>
        <v>I</v>
      </c>
      <c r="B774" s="21" t="s">
        <v>55</v>
      </c>
      <c r="C774" s="3"/>
      <c r="D774" s="3"/>
      <c r="E774" s="3"/>
      <c r="F774" s="3"/>
      <c r="G774" s="3"/>
      <c r="H774" s="3"/>
      <c r="I774" s="3"/>
      <c r="J774" s="69">
        <f>SUBTOTAL(9,J775:J855)</f>
        <v>843055144</v>
      </c>
      <c r="K774" s="147"/>
      <c r="L774" s="86"/>
    </row>
    <row r="775" spans="1:14" ht="17.25" x14ac:dyDescent="0.25">
      <c r="A775" s="218">
        <v>1</v>
      </c>
      <c r="B775" s="103" t="s">
        <v>148</v>
      </c>
      <c r="C775" s="148" t="s">
        <v>49</v>
      </c>
      <c r="D775" s="105">
        <v>46199</v>
      </c>
      <c r="E775" s="105">
        <v>46228</v>
      </c>
      <c r="F775" s="106">
        <v>17188</v>
      </c>
      <c r="G775" s="107">
        <v>17188</v>
      </c>
      <c r="H775" s="108">
        <f>E775-D775+1</f>
        <v>30</v>
      </c>
      <c r="I775" s="108">
        <v>85</v>
      </c>
      <c r="J775" s="94">
        <f>+I775*H775*G775</f>
        <v>43829400</v>
      </c>
      <c r="K775" s="147"/>
      <c r="L775" s="86"/>
    </row>
    <row r="776" spans="1:14" ht="17.25" x14ac:dyDescent="0.25">
      <c r="A776" s="218"/>
      <c r="B776" s="103" t="s">
        <v>148</v>
      </c>
      <c r="C776" s="148" t="s">
        <v>49</v>
      </c>
      <c r="D776" s="109">
        <v>46224</v>
      </c>
      <c r="E776" s="105">
        <v>46228</v>
      </c>
      <c r="F776" s="110"/>
      <c r="G776" s="107">
        <v>-800</v>
      </c>
      <c r="H776" s="108">
        <f t="shared" ref="H776" si="163">E776-D776+1</f>
        <v>5</v>
      </c>
      <c r="I776" s="108">
        <v>85</v>
      </c>
      <c r="J776" s="94">
        <f t="shared" ref="J776" si="164">+I776*H776*G776</f>
        <v>-340000</v>
      </c>
      <c r="K776" s="147"/>
      <c r="L776" s="86"/>
    </row>
    <row r="777" spans="1:14" ht="17.25" hidden="1" x14ac:dyDescent="0.25">
      <c r="A777" s="218"/>
      <c r="B777" s="103" t="s">
        <v>148</v>
      </c>
      <c r="C777" s="148" t="s">
        <v>49</v>
      </c>
      <c r="D777" s="109"/>
      <c r="E777" s="105"/>
      <c r="F777" s="110"/>
      <c r="G777" s="107"/>
      <c r="H777" s="108"/>
      <c r="I777" s="108"/>
      <c r="J777" s="94"/>
      <c r="K777" s="147"/>
      <c r="L777" s="86"/>
    </row>
    <row r="778" spans="1:14" ht="17.25" hidden="1" x14ac:dyDescent="0.25">
      <c r="A778" s="218"/>
      <c r="B778" s="103" t="s">
        <v>148</v>
      </c>
      <c r="C778" s="148" t="s">
        <v>49</v>
      </c>
      <c r="D778" s="109"/>
      <c r="E778" s="105"/>
      <c r="F778" s="110"/>
      <c r="G778" s="107"/>
      <c r="H778" s="108"/>
      <c r="I778" s="108"/>
      <c r="J778" s="94"/>
      <c r="K778" s="147"/>
      <c r="L778" s="86"/>
    </row>
    <row r="779" spans="1:14" ht="17.25" hidden="1" x14ac:dyDescent="0.25">
      <c r="A779" s="218"/>
      <c r="B779" s="103" t="s">
        <v>148</v>
      </c>
      <c r="C779" s="148" t="s">
        <v>49</v>
      </c>
      <c r="D779" s="109"/>
      <c r="E779" s="105"/>
      <c r="F779" s="110"/>
      <c r="G779" s="107"/>
      <c r="H779" s="108"/>
      <c r="I779" s="108"/>
      <c r="J779" s="94"/>
      <c r="K779" s="147"/>
      <c r="L779" s="86"/>
    </row>
    <row r="780" spans="1:14" ht="17.25" hidden="1" x14ac:dyDescent="0.25">
      <c r="A780" s="218"/>
      <c r="B780" s="103" t="s">
        <v>148</v>
      </c>
      <c r="C780" s="148" t="s">
        <v>49</v>
      </c>
      <c r="D780" s="109"/>
      <c r="E780" s="105"/>
      <c r="F780" s="110"/>
      <c r="G780" s="107"/>
      <c r="H780" s="108"/>
      <c r="I780" s="108"/>
      <c r="J780" s="94"/>
      <c r="K780" s="147"/>
      <c r="L780" s="86"/>
    </row>
    <row r="781" spans="1:14" ht="17.25" hidden="1" x14ac:dyDescent="0.25">
      <c r="A781" s="218"/>
      <c r="B781" s="103" t="s">
        <v>148</v>
      </c>
      <c r="C781" s="148" t="s">
        <v>49</v>
      </c>
      <c r="D781" s="109"/>
      <c r="E781" s="105"/>
      <c r="F781" s="110"/>
      <c r="G781" s="107"/>
      <c r="H781" s="108"/>
      <c r="I781" s="108"/>
      <c r="J781" s="94"/>
      <c r="K781" s="147"/>
      <c r="L781" s="86"/>
    </row>
    <row r="782" spans="1:14" ht="17.25" hidden="1" x14ac:dyDescent="0.25">
      <c r="A782" s="218"/>
      <c r="B782" s="103" t="s">
        <v>148</v>
      </c>
      <c r="C782" s="148" t="s">
        <v>49</v>
      </c>
      <c r="D782" s="109"/>
      <c r="E782" s="105"/>
      <c r="F782" s="110"/>
      <c r="G782" s="107"/>
      <c r="H782" s="108"/>
      <c r="I782" s="108"/>
      <c r="J782" s="94"/>
      <c r="K782" s="147"/>
      <c r="L782" s="86"/>
    </row>
    <row r="783" spans="1:14" ht="16.5" x14ac:dyDescent="0.25">
      <c r="A783" s="218"/>
      <c r="B783" s="215" t="s">
        <v>20</v>
      </c>
      <c r="C783" s="216"/>
      <c r="D783" s="216"/>
      <c r="E783" s="216"/>
      <c r="F783" s="217"/>
      <c r="G783" s="111">
        <f>SUM(G775:G782)</f>
        <v>16388</v>
      </c>
      <c r="H783" s="108"/>
      <c r="I783" s="108"/>
      <c r="J783" s="69">
        <f>+SUBTOTAL(109,J775:J782)</f>
        <v>43489400</v>
      </c>
      <c r="K783" s="147"/>
      <c r="L783" s="86"/>
    </row>
    <row r="784" spans="1:14" ht="17.25" x14ac:dyDescent="0.25">
      <c r="A784" s="212">
        <v>2</v>
      </c>
      <c r="B784" s="103" t="s">
        <v>122</v>
      </c>
      <c r="C784" s="148" t="s">
        <v>49</v>
      </c>
      <c r="D784" s="105">
        <v>46199</v>
      </c>
      <c r="E784" s="105">
        <v>46228</v>
      </c>
      <c r="F784" s="106">
        <v>26701</v>
      </c>
      <c r="G784" s="107">
        <v>26701</v>
      </c>
      <c r="H784" s="108">
        <f>E784-D784+1</f>
        <v>30</v>
      </c>
      <c r="I784" s="108">
        <v>125</v>
      </c>
      <c r="J784" s="94">
        <f t="shared" ref="J784:J787" si="165">+I784*H784*G784</f>
        <v>100128750</v>
      </c>
      <c r="K784" s="147"/>
      <c r="L784" s="86"/>
    </row>
    <row r="785" spans="1:12" ht="17.25" x14ac:dyDescent="0.25">
      <c r="A785" s="213"/>
      <c r="B785" s="103" t="s">
        <v>122</v>
      </c>
      <c r="C785" s="148" t="s">
        <v>49</v>
      </c>
      <c r="D785" s="109">
        <v>46200</v>
      </c>
      <c r="E785" s="105">
        <v>46228</v>
      </c>
      <c r="F785" s="110"/>
      <c r="G785" s="107">
        <v>-100</v>
      </c>
      <c r="H785" s="108">
        <f>E785-D785+1</f>
        <v>29</v>
      </c>
      <c r="I785" s="108">
        <v>125</v>
      </c>
      <c r="J785" s="94">
        <f t="shared" si="165"/>
        <v>-362500</v>
      </c>
      <c r="K785" s="147"/>
      <c r="L785" s="86"/>
    </row>
    <row r="786" spans="1:12" ht="17.25" x14ac:dyDescent="0.25">
      <c r="A786" s="213"/>
      <c r="B786" s="103" t="s">
        <v>122</v>
      </c>
      <c r="C786" s="148" t="s">
        <v>49</v>
      </c>
      <c r="D786" s="109">
        <v>46208</v>
      </c>
      <c r="E786" s="105">
        <v>46228</v>
      </c>
      <c r="F786" s="110"/>
      <c r="G786" s="107">
        <v>-400</v>
      </c>
      <c r="H786" s="108">
        <f t="shared" ref="H786:H787" si="166">E786-D786+1</f>
        <v>21</v>
      </c>
      <c r="I786" s="108">
        <v>125</v>
      </c>
      <c r="J786" s="94">
        <f t="shared" si="165"/>
        <v>-1050000</v>
      </c>
      <c r="K786" s="147"/>
      <c r="L786" s="86"/>
    </row>
    <row r="787" spans="1:12" ht="17.25" x14ac:dyDescent="0.25">
      <c r="A787" s="213"/>
      <c r="B787" s="103" t="s">
        <v>122</v>
      </c>
      <c r="C787" s="148" t="s">
        <v>49</v>
      </c>
      <c r="D787" s="109">
        <v>46224</v>
      </c>
      <c r="E787" s="105">
        <v>46228</v>
      </c>
      <c r="F787" s="110"/>
      <c r="G787" s="107">
        <v>-300</v>
      </c>
      <c r="H787" s="108">
        <f t="shared" si="166"/>
        <v>5</v>
      </c>
      <c r="I787" s="108">
        <v>125</v>
      </c>
      <c r="J787" s="94">
        <f t="shared" si="165"/>
        <v>-187500</v>
      </c>
      <c r="K787" s="147"/>
      <c r="L787" s="86"/>
    </row>
    <row r="788" spans="1:12" ht="17.25" hidden="1" x14ac:dyDescent="0.25">
      <c r="A788" s="213"/>
      <c r="B788" s="103" t="s">
        <v>122</v>
      </c>
      <c r="C788" s="148" t="s">
        <v>49</v>
      </c>
      <c r="D788" s="109"/>
      <c r="E788" s="105"/>
      <c r="F788" s="110"/>
      <c r="G788" s="107"/>
      <c r="H788" s="108"/>
      <c r="I788" s="108"/>
      <c r="J788" s="94"/>
      <c r="K788" s="147"/>
      <c r="L788" s="86"/>
    </row>
    <row r="789" spans="1:12" ht="17.25" hidden="1" x14ac:dyDescent="0.25">
      <c r="A789" s="213"/>
      <c r="B789" s="103" t="s">
        <v>122</v>
      </c>
      <c r="C789" s="148" t="s">
        <v>49</v>
      </c>
      <c r="D789" s="109"/>
      <c r="E789" s="105"/>
      <c r="F789" s="110"/>
      <c r="G789" s="107"/>
      <c r="H789" s="108"/>
      <c r="I789" s="108"/>
      <c r="J789" s="94"/>
      <c r="K789" s="147"/>
      <c r="L789" s="86"/>
    </row>
    <row r="790" spans="1:12" ht="17.25" hidden="1" x14ac:dyDescent="0.25">
      <c r="A790" s="213"/>
      <c r="B790" s="103" t="s">
        <v>122</v>
      </c>
      <c r="C790" s="148" t="s">
        <v>49</v>
      </c>
      <c r="D790" s="109"/>
      <c r="E790" s="105"/>
      <c r="F790" s="110"/>
      <c r="G790" s="107"/>
      <c r="H790" s="108"/>
      <c r="I790" s="108"/>
      <c r="J790" s="94"/>
      <c r="K790" s="147"/>
      <c r="L790" s="86"/>
    </row>
    <row r="791" spans="1:12" ht="17.25" hidden="1" x14ac:dyDescent="0.25">
      <c r="A791" s="213"/>
      <c r="B791" s="103" t="s">
        <v>122</v>
      </c>
      <c r="C791" s="148" t="s">
        <v>49</v>
      </c>
      <c r="D791" s="109"/>
      <c r="E791" s="105"/>
      <c r="F791" s="110"/>
      <c r="G791" s="107"/>
      <c r="H791" s="108"/>
      <c r="I791" s="108"/>
      <c r="J791" s="94"/>
      <c r="K791" s="147"/>
      <c r="L791" s="86"/>
    </row>
    <row r="792" spans="1:12" ht="17.25" hidden="1" x14ac:dyDescent="0.25">
      <c r="A792" s="213"/>
      <c r="B792" s="103" t="s">
        <v>122</v>
      </c>
      <c r="C792" s="148" t="s">
        <v>49</v>
      </c>
      <c r="D792" s="109"/>
      <c r="E792" s="105"/>
      <c r="F792" s="110"/>
      <c r="G792" s="107"/>
      <c r="H792" s="108"/>
      <c r="I792" s="108"/>
      <c r="J792" s="94"/>
      <c r="K792" s="147"/>
      <c r="L792" s="86"/>
    </row>
    <row r="793" spans="1:12" ht="16.5" x14ac:dyDescent="0.25">
      <c r="A793" s="214"/>
      <c r="B793" s="215" t="s">
        <v>20</v>
      </c>
      <c r="C793" s="216"/>
      <c r="D793" s="216"/>
      <c r="E793" s="216"/>
      <c r="F793" s="217"/>
      <c r="G793" s="111">
        <f>SUM(G784:G792)</f>
        <v>25901</v>
      </c>
      <c r="H793" s="108"/>
      <c r="I793" s="108"/>
      <c r="J793" s="69">
        <f>+SUBTOTAL(109,J784:J792)</f>
        <v>98528750</v>
      </c>
      <c r="K793" s="147"/>
      <c r="L793" s="86"/>
    </row>
    <row r="794" spans="1:12" ht="17.25" x14ac:dyDescent="0.25">
      <c r="A794" s="212">
        <v>3</v>
      </c>
      <c r="B794" s="103" t="s">
        <v>118</v>
      </c>
      <c r="C794" s="148" t="s">
        <v>49</v>
      </c>
      <c r="D794" s="105">
        <v>46199</v>
      </c>
      <c r="E794" s="105">
        <v>46228</v>
      </c>
      <c r="F794" s="106">
        <v>9700</v>
      </c>
      <c r="G794" s="107">
        <v>9700</v>
      </c>
      <c r="H794" s="108">
        <f t="shared" ref="H794:H798" si="167">E794-D794+1</f>
        <v>30</v>
      </c>
      <c r="I794" s="108">
        <v>159</v>
      </c>
      <c r="J794" s="94">
        <f>+I794*H794*G794</f>
        <v>46269000</v>
      </c>
      <c r="K794" s="147"/>
      <c r="L794" s="86"/>
    </row>
    <row r="795" spans="1:12" ht="17.25" x14ac:dyDescent="0.25">
      <c r="A795" s="213"/>
      <c r="B795" s="103" t="s">
        <v>118</v>
      </c>
      <c r="C795" s="148" t="s">
        <v>49</v>
      </c>
      <c r="D795" s="109">
        <v>46200</v>
      </c>
      <c r="E795" s="105">
        <v>46228</v>
      </c>
      <c r="F795" s="110"/>
      <c r="G795" s="107">
        <v>-1200</v>
      </c>
      <c r="H795" s="108">
        <f t="shared" si="167"/>
        <v>29</v>
      </c>
      <c r="I795" s="108">
        <v>159</v>
      </c>
      <c r="J795" s="94">
        <f t="shared" ref="J795:J798" si="168">+I795*H795*G795</f>
        <v>-5533200</v>
      </c>
      <c r="K795" s="147"/>
      <c r="L795" s="86"/>
    </row>
    <row r="796" spans="1:12" ht="17.25" x14ac:dyDescent="0.25">
      <c r="A796" s="213"/>
      <c r="B796" s="103" t="s">
        <v>118</v>
      </c>
      <c r="C796" s="148" t="s">
        <v>49</v>
      </c>
      <c r="D796" s="109">
        <v>46208</v>
      </c>
      <c r="E796" s="105">
        <v>46228</v>
      </c>
      <c r="F796" s="110"/>
      <c r="G796" s="107">
        <v>-900</v>
      </c>
      <c r="H796" s="108">
        <f t="shared" si="167"/>
        <v>21</v>
      </c>
      <c r="I796" s="108">
        <v>159</v>
      </c>
      <c r="J796" s="94">
        <f t="shared" si="168"/>
        <v>-3005100</v>
      </c>
      <c r="K796" s="147"/>
      <c r="L796" s="86"/>
    </row>
    <row r="797" spans="1:12" ht="17.25" x14ac:dyDescent="0.25">
      <c r="A797" s="213"/>
      <c r="B797" s="103" t="s">
        <v>118</v>
      </c>
      <c r="C797" s="148" t="s">
        <v>49</v>
      </c>
      <c r="D797" s="109">
        <v>46208</v>
      </c>
      <c r="E797" s="105">
        <v>46228</v>
      </c>
      <c r="F797" s="110"/>
      <c r="G797" s="107">
        <v>-400</v>
      </c>
      <c r="H797" s="108">
        <f t="shared" si="167"/>
        <v>21</v>
      </c>
      <c r="I797" s="108">
        <v>159</v>
      </c>
      <c r="J797" s="94">
        <f t="shared" si="168"/>
        <v>-1335600</v>
      </c>
      <c r="K797" s="147"/>
      <c r="L797" s="86"/>
    </row>
    <row r="798" spans="1:12" ht="17.25" x14ac:dyDescent="0.25">
      <c r="A798" s="213"/>
      <c r="B798" s="103" t="s">
        <v>118</v>
      </c>
      <c r="C798" s="148" t="s">
        <v>49</v>
      </c>
      <c r="D798" s="109">
        <v>46224</v>
      </c>
      <c r="E798" s="105">
        <v>46228</v>
      </c>
      <c r="F798" s="110"/>
      <c r="G798" s="107">
        <v>-200</v>
      </c>
      <c r="H798" s="108">
        <f t="shared" si="167"/>
        <v>5</v>
      </c>
      <c r="I798" s="108">
        <v>159</v>
      </c>
      <c r="J798" s="94">
        <f t="shared" si="168"/>
        <v>-159000</v>
      </c>
      <c r="K798" s="147"/>
    </row>
    <row r="799" spans="1:12" ht="17.25" hidden="1" x14ac:dyDescent="0.25">
      <c r="A799" s="213"/>
      <c r="B799" s="103" t="s">
        <v>118</v>
      </c>
      <c r="C799" s="148" t="s">
        <v>49</v>
      </c>
      <c r="D799" s="109"/>
      <c r="E799" s="105"/>
      <c r="F799" s="110"/>
      <c r="G799" s="107"/>
      <c r="H799" s="108"/>
      <c r="I799" s="108"/>
      <c r="J799" s="94"/>
      <c r="K799" s="147"/>
      <c r="L799" s="86"/>
    </row>
    <row r="800" spans="1:12" ht="17.25" hidden="1" x14ac:dyDescent="0.25">
      <c r="A800" s="213"/>
      <c r="B800" s="103" t="s">
        <v>118</v>
      </c>
      <c r="C800" s="148" t="s">
        <v>49</v>
      </c>
      <c r="D800" s="109"/>
      <c r="E800" s="105"/>
      <c r="F800" s="110"/>
      <c r="G800" s="107"/>
      <c r="H800" s="108"/>
      <c r="I800" s="108"/>
      <c r="J800" s="94"/>
      <c r="K800" s="147"/>
      <c r="L800" s="86"/>
    </row>
    <row r="801" spans="1:12" ht="16.5" x14ac:dyDescent="0.25">
      <c r="A801" s="214"/>
      <c r="B801" s="215" t="s">
        <v>20</v>
      </c>
      <c r="C801" s="216"/>
      <c r="D801" s="216"/>
      <c r="E801" s="216"/>
      <c r="F801" s="217"/>
      <c r="G801" s="111">
        <f>SUM(G794:G800)</f>
        <v>7000</v>
      </c>
      <c r="H801" s="108"/>
      <c r="I801" s="108"/>
      <c r="J801" s="69">
        <f>+SUBTOTAL(109,J794:J800)</f>
        <v>36236100</v>
      </c>
      <c r="K801" s="147"/>
      <c r="L801" s="86"/>
    </row>
    <row r="802" spans="1:12" ht="17.25" x14ac:dyDescent="0.25">
      <c r="A802" s="212">
        <v>4</v>
      </c>
      <c r="B802" s="103" t="s">
        <v>50</v>
      </c>
      <c r="C802" s="148" t="s">
        <v>49</v>
      </c>
      <c r="D802" s="105">
        <v>46199</v>
      </c>
      <c r="E802" s="105">
        <v>46228</v>
      </c>
      <c r="F802" s="106">
        <v>32654</v>
      </c>
      <c r="G802" s="107">
        <v>32654</v>
      </c>
      <c r="H802" s="108">
        <f t="shared" ref="H802:H809" si="169">E802-D802+1</f>
        <v>30</v>
      </c>
      <c r="I802" s="108">
        <v>185</v>
      </c>
      <c r="J802" s="94">
        <f>+I802*H802*G802</f>
        <v>181229700</v>
      </c>
      <c r="K802" s="147"/>
      <c r="L802" s="86"/>
    </row>
    <row r="803" spans="1:12" ht="17.25" x14ac:dyDescent="0.25">
      <c r="A803" s="213"/>
      <c r="B803" s="103" t="s">
        <v>50</v>
      </c>
      <c r="C803" s="148" t="s">
        <v>49</v>
      </c>
      <c r="D803" s="105">
        <v>46200</v>
      </c>
      <c r="E803" s="105">
        <v>46228</v>
      </c>
      <c r="F803" s="106"/>
      <c r="G803" s="107">
        <v>-1600</v>
      </c>
      <c r="H803" s="108">
        <f t="shared" si="169"/>
        <v>29</v>
      </c>
      <c r="I803" s="108">
        <v>185</v>
      </c>
      <c r="J803" s="94">
        <f t="shared" ref="J803:J809" si="170">+I803*H803*G803</f>
        <v>-8584000</v>
      </c>
      <c r="K803" s="147"/>
      <c r="L803" s="86"/>
    </row>
    <row r="804" spans="1:12" ht="17.25" x14ac:dyDescent="0.25">
      <c r="A804" s="213"/>
      <c r="B804" s="103" t="s">
        <v>50</v>
      </c>
      <c r="C804" s="148" t="s">
        <v>49</v>
      </c>
      <c r="D804" s="105">
        <v>46200</v>
      </c>
      <c r="E804" s="105">
        <v>46228</v>
      </c>
      <c r="F804" s="106"/>
      <c r="G804" s="107">
        <v>-400</v>
      </c>
      <c r="H804" s="108">
        <f t="shared" si="169"/>
        <v>29</v>
      </c>
      <c r="I804" s="108">
        <v>185</v>
      </c>
      <c r="J804" s="94">
        <f t="shared" si="170"/>
        <v>-2146000</v>
      </c>
      <c r="K804" s="147"/>
      <c r="L804" s="86"/>
    </row>
    <row r="805" spans="1:12" ht="17.25" x14ac:dyDescent="0.25">
      <c r="A805" s="213"/>
      <c r="B805" s="103" t="s">
        <v>50</v>
      </c>
      <c r="C805" s="148" t="s">
        <v>49</v>
      </c>
      <c r="D805" s="105">
        <v>46206</v>
      </c>
      <c r="E805" s="105">
        <v>46228</v>
      </c>
      <c r="F805" s="106"/>
      <c r="G805" s="107">
        <v>-900</v>
      </c>
      <c r="H805" s="108">
        <f t="shared" si="169"/>
        <v>23</v>
      </c>
      <c r="I805" s="108">
        <v>185</v>
      </c>
      <c r="J805" s="94">
        <f t="shared" si="170"/>
        <v>-3829500</v>
      </c>
      <c r="K805" s="147"/>
      <c r="L805" s="86"/>
    </row>
    <row r="806" spans="1:12" ht="17.25" x14ac:dyDescent="0.25">
      <c r="A806" s="213"/>
      <c r="B806" s="103" t="s">
        <v>50</v>
      </c>
      <c r="C806" s="148" t="s">
        <v>49</v>
      </c>
      <c r="D806" s="105">
        <v>46208</v>
      </c>
      <c r="E806" s="105">
        <v>46228</v>
      </c>
      <c r="F806" s="106"/>
      <c r="G806" s="107">
        <v>-300</v>
      </c>
      <c r="H806" s="108">
        <f t="shared" si="169"/>
        <v>21</v>
      </c>
      <c r="I806" s="108">
        <v>185</v>
      </c>
      <c r="J806" s="94">
        <f t="shared" si="170"/>
        <v>-1165500</v>
      </c>
      <c r="K806" s="147"/>
      <c r="L806" s="86"/>
    </row>
    <row r="807" spans="1:12" ht="17.25" x14ac:dyDescent="0.25">
      <c r="A807" s="213"/>
      <c r="B807" s="103" t="s">
        <v>50</v>
      </c>
      <c r="C807" s="148" t="s">
        <v>49</v>
      </c>
      <c r="D807" s="105">
        <v>46208</v>
      </c>
      <c r="E807" s="105">
        <v>46228</v>
      </c>
      <c r="F807" s="106"/>
      <c r="G807" s="107">
        <v>-900</v>
      </c>
      <c r="H807" s="108">
        <f t="shared" si="169"/>
        <v>21</v>
      </c>
      <c r="I807" s="108">
        <v>185</v>
      </c>
      <c r="J807" s="94">
        <f t="shared" si="170"/>
        <v>-3496500</v>
      </c>
      <c r="K807" s="147"/>
      <c r="L807" s="86"/>
    </row>
    <row r="808" spans="1:12" ht="17.25" x14ac:dyDescent="0.25">
      <c r="A808" s="213"/>
      <c r="B808" s="103" t="s">
        <v>50</v>
      </c>
      <c r="C808" s="148" t="s">
        <v>49</v>
      </c>
      <c r="D808" s="105">
        <v>46214</v>
      </c>
      <c r="E808" s="105">
        <v>46228</v>
      </c>
      <c r="F808" s="106"/>
      <c r="G808" s="107">
        <v>-1100</v>
      </c>
      <c r="H808" s="108">
        <f t="shared" si="169"/>
        <v>15</v>
      </c>
      <c r="I808" s="108">
        <v>185</v>
      </c>
      <c r="J808" s="94">
        <f t="shared" si="170"/>
        <v>-3052500</v>
      </c>
      <c r="K808" s="147"/>
      <c r="L808" s="86"/>
    </row>
    <row r="809" spans="1:12" ht="17.25" x14ac:dyDescent="0.25">
      <c r="A809" s="213"/>
      <c r="B809" s="103" t="s">
        <v>50</v>
      </c>
      <c r="C809" s="148" t="s">
        <v>49</v>
      </c>
      <c r="D809" s="105">
        <v>46224</v>
      </c>
      <c r="E809" s="105">
        <v>46228</v>
      </c>
      <c r="F809" s="106"/>
      <c r="G809" s="107">
        <v>-700</v>
      </c>
      <c r="H809" s="108">
        <f t="shared" si="169"/>
        <v>5</v>
      </c>
      <c r="I809" s="108">
        <v>185</v>
      </c>
      <c r="J809" s="94">
        <f t="shared" si="170"/>
        <v>-647500</v>
      </c>
      <c r="K809" s="147"/>
      <c r="L809" s="86"/>
    </row>
    <row r="810" spans="1:12" ht="17.25" hidden="1" x14ac:dyDescent="0.25">
      <c r="A810" s="213"/>
      <c r="B810" s="103" t="s">
        <v>50</v>
      </c>
      <c r="C810" s="148" t="s">
        <v>49</v>
      </c>
      <c r="D810" s="105"/>
      <c r="E810" s="105"/>
      <c r="F810" s="106"/>
      <c r="G810" s="107"/>
      <c r="H810" s="108"/>
      <c r="I810" s="108"/>
      <c r="J810" s="94"/>
      <c r="K810" s="147"/>
      <c r="L810" s="86"/>
    </row>
    <row r="811" spans="1:12" ht="17.25" hidden="1" x14ac:dyDescent="0.25">
      <c r="A811" s="213"/>
      <c r="B811" s="103" t="s">
        <v>50</v>
      </c>
      <c r="C811" s="148" t="s">
        <v>49</v>
      </c>
      <c r="D811" s="105"/>
      <c r="E811" s="105"/>
      <c r="F811" s="106"/>
      <c r="G811" s="107"/>
      <c r="H811" s="108"/>
      <c r="I811" s="108"/>
      <c r="J811" s="94"/>
      <c r="K811" s="147"/>
      <c r="L811" s="86"/>
    </row>
    <row r="812" spans="1:12" ht="17.25" hidden="1" x14ac:dyDescent="0.25">
      <c r="A812" s="213"/>
      <c r="B812" s="103" t="s">
        <v>50</v>
      </c>
      <c r="C812" s="148" t="s">
        <v>49</v>
      </c>
      <c r="D812" s="105"/>
      <c r="E812" s="105"/>
      <c r="F812" s="106"/>
      <c r="G812" s="107"/>
      <c r="H812" s="108"/>
      <c r="I812" s="108"/>
      <c r="J812" s="94"/>
      <c r="K812" s="147"/>
      <c r="L812" s="86"/>
    </row>
    <row r="813" spans="1:12" ht="16.5" x14ac:dyDescent="0.25">
      <c r="A813" s="214"/>
      <c r="B813" s="210" t="s">
        <v>20</v>
      </c>
      <c r="C813" s="210"/>
      <c r="D813" s="210"/>
      <c r="E813" s="210"/>
      <c r="F813" s="210"/>
      <c r="G813" s="111">
        <f>SUM(G802:G812)</f>
        <v>26754</v>
      </c>
      <c r="H813" s="108"/>
      <c r="I813" s="108"/>
      <c r="J813" s="69">
        <f>+SUBTOTAL(109,J802:J812)</f>
        <v>158308200</v>
      </c>
      <c r="K813" s="147"/>
      <c r="L813" s="86"/>
    </row>
    <row r="814" spans="1:12" ht="17.25" x14ac:dyDescent="0.25">
      <c r="A814" s="212">
        <v>5</v>
      </c>
      <c r="B814" s="103" t="s">
        <v>126</v>
      </c>
      <c r="C814" s="148" t="s">
        <v>24</v>
      </c>
      <c r="D814" s="105">
        <v>46199</v>
      </c>
      <c r="E814" s="105">
        <v>46228</v>
      </c>
      <c r="F814" s="106">
        <v>32350</v>
      </c>
      <c r="G814" s="107">
        <v>32350</v>
      </c>
      <c r="H814" s="108">
        <f t="shared" ref="H814:H817" si="171">E814-D814+1</f>
        <v>30</v>
      </c>
      <c r="I814" s="108">
        <v>43</v>
      </c>
      <c r="J814" s="94">
        <f>+I814*H814*G814</f>
        <v>41731500</v>
      </c>
      <c r="K814" s="147"/>
      <c r="L814" s="86"/>
    </row>
    <row r="815" spans="1:12" ht="17.25" x14ac:dyDescent="0.25">
      <c r="A815" s="213"/>
      <c r="B815" s="103" t="s">
        <v>126</v>
      </c>
      <c r="C815" s="148" t="s">
        <v>24</v>
      </c>
      <c r="D815" s="105">
        <v>46206</v>
      </c>
      <c r="E815" s="105">
        <v>46228</v>
      </c>
      <c r="F815" s="106"/>
      <c r="G815" s="107">
        <v>-630</v>
      </c>
      <c r="H815" s="108">
        <f t="shared" si="171"/>
        <v>23</v>
      </c>
      <c r="I815" s="108">
        <v>43</v>
      </c>
      <c r="J815" s="94">
        <f t="shared" ref="J815:J817" si="172">+I815*H815*G815</f>
        <v>-623070</v>
      </c>
      <c r="K815" s="147"/>
      <c r="L815" s="86"/>
    </row>
    <row r="816" spans="1:12" ht="17.25" x14ac:dyDescent="0.25">
      <c r="A816" s="213"/>
      <c r="B816" s="103" t="s">
        <v>126</v>
      </c>
      <c r="C816" s="148" t="s">
        <v>24</v>
      </c>
      <c r="D816" s="105">
        <v>46208</v>
      </c>
      <c r="E816" s="105">
        <v>46228</v>
      </c>
      <c r="F816" s="106"/>
      <c r="G816" s="107">
        <v>-630</v>
      </c>
      <c r="H816" s="108">
        <f t="shared" si="171"/>
        <v>21</v>
      </c>
      <c r="I816" s="108">
        <v>43</v>
      </c>
      <c r="J816" s="94">
        <f t="shared" si="172"/>
        <v>-568890</v>
      </c>
      <c r="K816" s="147"/>
      <c r="L816" s="86"/>
    </row>
    <row r="817" spans="1:12" ht="17.25" x14ac:dyDescent="0.25">
      <c r="A817" s="213"/>
      <c r="B817" s="103" t="s">
        <v>126</v>
      </c>
      <c r="C817" s="148" t="s">
        <v>24</v>
      </c>
      <c r="D817" s="105">
        <v>46210</v>
      </c>
      <c r="E817" s="105">
        <v>46228</v>
      </c>
      <c r="F817" s="106"/>
      <c r="G817" s="107">
        <v>-1680</v>
      </c>
      <c r="H817" s="108">
        <f t="shared" si="171"/>
        <v>19</v>
      </c>
      <c r="I817" s="108">
        <v>43</v>
      </c>
      <c r="J817" s="94">
        <f t="shared" si="172"/>
        <v>-1372560</v>
      </c>
      <c r="K817" s="147"/>
      <c r="L817" s="86"/>
    </row>
    <row r="818" spans="1:12" ht="17.25" x14ac:dyDescent="0.25">
      <c r="A818" s="213"/>
      <c r="B818" s="103" t="s">
        <v>126</v>
      </c>
      <c r="C818" s="148" t="s">
        <v>24</v>
      </c>
      <c r="D818" s="109">
        <v>46224</v>
      </c>
      <c r="E818" s="105">
        <v>46228</v>
      </c>
      <c r="F818" s="110"/>
      <c r="G818" s="107">
        <v>-210</v>
      </c>
      <c r="H818" s="108">
        <f t="shared" ref="H818:H819" si="173">E818-D818+1</f>
        <v>5</v>
      </c>
      <c r="I818" s="108">
        <v>43</v>
      </c>
      <c r="J818" s="94">
        <f t="shared" ref="J818" si="174">+I818*H818*G818</f>
        <v>-45150</v>
      </c>
      <c r="K818" s="147"/>
      <c r="L818" s="86"/>
    </row>
    <row r="819" spans="1:12" ht="17.25" x14ac:dyDescent="0.25">
      <c r="A819" s="213"/>
      <c r="B819" s="103" t="s">
        <v>126</v>
      </c>
      <c r="C819" s="152" t="s">
        <v>24</v>
      </c>
      <c r="D819" s="109">
        <v>46227</v>
      </c>
      <c r="E819" s="105">
        <v>46228</v>
      </c>
      <c r="F819" s="110"/>
      <c r="G819" s="107">
        <v>-2100</v>
      </c>
      <c r="H819" s="108">
        <f t="shared" si="173"/>
        <v>2</v>
      </c>
      <c r="I819" s="108">
        <v>43</v>
      </c>
      <c r="J819" s="94">
        <f t="shared" ref="J819" si="175">+I819*H819*G819</f>
        <v>-180600</v>
      </c>
      <c r="K819" s="153"/>
      <c r="L819" s="86"/>
    </row>
    <row r="820" spans="1:12" ht="16.5" x14ac:dyDescent="0.25">
      <c r="A820" s="214"/>
      <c r="B820" s="215" t="s">
        <v>20</v>
      </c>
      <c r="C820" s="216"/>
      <c r="D820" s="216"/>
      <c r="E820" s="216"/>
      <c r="F820" s="217"/>
      <c r="G820" s="111">
        <f>SUM(G814:G819)</f>
        <v>27100</v>
      </c>
      <c r="H820" s="108"/>
      <c r="I820" s="108"/>
      <c r="J820" s="69">
        <f>+SUBTOTAL(109,J814:J819)</f>
        <v>38941230</v>
      </c>
      <c r="K820" s="147"/>
      <c r="L820" s="86"/>
    </row>
    <row r="821" spans="1:12" ht="17.25" x14ac:dyDescent="0.25">
      <c r="A821" s="212">
        <v>6</v>
      </c>
      <c r="B821" s="103" t="s">
        <v>149</v>
      </c>
      <c r="C821" s="148" t="s">
        <v>24</v>
      </c>
      <c r="D821" s="105">
        <v>46199</v>
      </c>
      <c r="E821" s="105">
        <v>46228</v>
      </c>
      <c r="F821" s="106">
        <v>21692</v>
      </c>
      <c r="G821" s="107">
        <v>21692</v>
      </c>
      <c r="H821" s="108">
        <f t="shared" ref="H821:H822" si="176">E821-D821+1</f>
        <v>30</v>
      </c>
      <c r="I821" s="108">
        <v>55</v>
      </c>
      <c r="J821" s="94">
        <f>+I821*H821*G821</f>
        <v>35791800</v>
      </c>
      <c r="K821" s="147"/>
      <c r="L821" s="86"/>
    </row>
    <row r="822" spans="1:12" ht="17.25" x14ac:dyDescent="0.25">
      <c r="A822" s="213"/>
      <c r="B822" s="103" t="s">
        <v>149</v>
      </c>
      <c r="C822" s="148" t="s">
        <v>24</v>
      </c>
      <c r="D822" s="105">
        <v>46200</v>
      </c>
      <c r="E822" s="105">
        <v>46228</v>
      </c>
      <c r="F822" s="110"/>
      <c r="G822" s="107">
        <v>-352</v>
      </c>
      <c r="H822" s="108">
        <f t="shared" si="176"/>
        <v>29</v>
      </c>
      <c r="I822" s="108">
        <v>55</v>
      </c>
      <c r="J822" s="94">
        <f>+I822*H822*G822</f>
        <v>-561440</v>
      </c>
      <c r="K822" s="147"/>
      <c r="L822" s="86"/>
    </row>
    <row r="823" spans="1:12" ht="17.25" x14ac:dyDescent="0.25">
      <c r="A823" s="213"/>
      <c r="B823" s="103" t="s">
        <v>149</v>
      </c>
      <c r="C823" s="148" t="s">
        <v>24</v>
      </c>
      <c r="D823" s="105">
        <v>46206</v>
      </c>
      <c r="E823" s="105">
        <v>46228</v>
      </c>
      <c r="F823" s="110"/>
      <c r="G823" s="107">
        <v>-375</v>
      </c>
      <c r="H823" s="108">
        <f t="shared" ref="H823:H824" si="177">E823-D823+1</f>
        <v>23</v>
      </c>
      <c r="I823" s="108">
        <v>55</v>
      </c>
      <c r="J823" s="94">
        <f t="shared" ref="J823:J824" si="178">+I823*H823*G823</f>
        <v>-474375</v>
      </c>
      <c r="K823" s="147"/>
      <c r="L823" s="86"/>
    </row>
    <row r="824" spans="1:12" ht="17.25" x14ac:dyDescent="0.25">
      <c r="A824" s="213"/>
      <c r="B824" s="103" t="s">
        <v>149</v>
      </c>
      <c r="C824" s="148" t="s">
        <v>24</v>
      </c>
      <c r="D824" s="105">
        <v>46208</v>
      </c>
      <c r="E824" s="105">
        <v>46228</v>
      </c>
      <c r="F824" s="110"/>
      <c r="G824" s="107">
        <v>-357</v>
      </c>
      <c r="H824" s="108">
        <f t="shared" si="177"/>
        <v>21</v>
      </c>
      <c r="I824" s="108">
        <v>55</v>
      </c>
      <c r="J824" s="94">
        <f t="shared" si="178"/>
        <v>-412335</v>
      </c>
      <c r="K824" s="147"/>
      <c r="L824" s="86"/>
    </row>
    <row r="825" spans="1:12" ht="17.25" x14ac:dyDescent="0.25">
      <c r="A825" s="213"/>
      <c r="B825" s="103" t="s">
        <v>149</v>
      </c>
      <c r="C825" s="152" t="s">
        <v>24</v>
      </c>
      <c r="D825" s="105">
        <v>46216</v>
      </c>
      <c r="E825" s="105">
        <v>46228</v>
      </c>
      <c r="F825" s="110"/>
      <c r="G825" s="107">
        <v>-336</v>
      </c>
      <c r="H825" s="108">
        <f t="shared" ref="H825" si="179">E825-D825+1</f>
        <v>13</v>
      </c>
      <c r="I825" s="108">
        <v>55</v>
      </c>
      <c r="J825" s="94">
        <f t="shared" ref="J825" si="180">+I825*H825*G825</f>
        <v>-240240</v>
      </c>
      <c r="K825" s="153"/>
      <c r="L825" s="86"/>
    </row>
    <row r="826" spans="1:12" ht="17.25" x14ac:dyDescent="0.25">
      <c r="A826" s="213"/>
      <c r="B826" s="103" t="s">
        <v>149</v>
      </c>
      <c r="C826" s="152" t="s">
        <v>24</v>
      </c>
      <c r="D826" s="109">
        <v>46227</v>
      </c>
      <c r="E826" s="105">
        <v>46228</v>
      </c>
      <c r="F826" s="110"/>
      <c r="G826" s="107">
        <v>-127</v>
      </c>
      <c r="H826" s="108">
        <f t="shared" ref="H826" si="181">E826-D826+1</f>
        <v>2</v>
      </c>
      <c r="I826" s="108">
        <v>55</v>
      </c>
      <c r="J826" s="94">
        <f t="shared" ref="J826" si="182">+I826*H826*G826</f>
        <v>-13970</v>
      </c>
      <c r="K826" s="153"/>
      <c r="L826" s="86"/>
    </row>
    <row r="827" spans="1:12" ht="16.5" x14ac:dyDescent="0.25">
      <c r="A827" s="214"/>
      <c r="B827" s="215" t="s">
        <v>20</v>
      </c>
      <c r="C827" s="216"/>
      <c r="D827" s="216"/>
      <c r="E827" s="216"/>
      <c r="F827" s="217"/>
      <c r="G827" s="111">
        <f>SUM(G821:G826)</f>
        <v>20145</v>
      </c>
      <c r="H827" s="108"/>
      <c r="I827" s="108"/>
      <c r="J827" s="69">
        <f>+SUBTOTAL(109,J821:J826)</f>
        <v>34089440</v>
      </c>
      <c r="K827" s="147"/>
      <c r="L827" s="86"/>
    </row>
    <row r="828" spans="1:12" ht="17.25" x14ac:dyDescent="0.25">
      <c r="A828" s="212">
        <v>7</v>
      </c>
      <c r="B828" s="103" t="s">
        <v>0</v>
      </c>
      <c r="C828" s="148" t="s">
        <v>24</v>
      </c>
      <c r="D828" s="105">
        <v>46199</v>
      </c>
      <c r="E828" s="105">
        <v>46228</v>
      </c>
      <c r="F828" s="106">
        <v>164313</v>
      </c>
      <c r="G828" s="107">
        <v>164313</v>
      </c>
      <c r="H828" s="108">
        <f t="shared" ref="H828:H835" si="183">E828-D828+1</f>
        <v>30</v>
      </c>
      <c r="I828" s="108">
        <v>71</v>
      </c>
      <c r="J828" s="94">
        <f t="shared" ref="J828:J835" si="184">+I828*H828*G828</f>
        <v>349986690</v>
      </c>
      <c r="K828" s="147"/>
      <c r="L828" s="86"/>
    </row>
    <row r="829" spans="1:12" ht="17.25" x14ac:dyDescent="0.25">
      <c r="A829" s="213"/>
      <c r="B829" s="103" t="s">
        <v>0</v>
      </c>
      <c r="C829" s="148" t="s">
        <v>24</v>
      </c>
      <c r="D829" s="109">
        <v>46200</v>
      </c>
      <c r="E829" s="105">
        <v>46228</v>
      </c>
      <c r="F829" s="110"/>
      <c r="G829" s="107">
        <v>-4620</v>
      </c>
      <c r="H829" s="108">
        <f t="shared" si="183"/>
        <v>29</v>
      </c>
      <c r="I829" s="108">
        <v>71</v>
      </c>
      <c r="J829" s="94">
        <f t="shared" si="184"/>
        <v>-9512580</v>
      </c>
      <c r="K829" s="147"/>
      <c r="L829" s="86"/>
    </row>
    <row r="830" spans="1:12" ht="17.25" x14ac:dyDescent="0.25">
      <c r="A830" s="213"/>
      <c r="B830" s="103" t="s">
        <v>0</v>
      </c>
      <c r="C830" s="148" t="s">
        <v>24</v>
      </c>
      <c r="D830" s="109">
        <v>46200</v>
      </c>
      <c r="E830" s="105">
        <v>46228</v>
      </c>
      <c r="F830" s="110"/>
      <c r="G830" s="107">
        <v>-3234</v>
      </c>
      <c r="H830" s="108">
        <f t="shared" si="183"/>
        <v>29</v>
      </c>
      <c r="I830" s="108">
        <v>71</v>
      </c>
      <c r="J830" s="94">
        <f t="shared" si="184"/>
        <v>-6658806</v>
      </c>
      <c r="K830" s="147"/>
      <c r="L830" s="86"/>
    </row>
    <row r="831" spans="1:12" ht="17.25" x14ac:dyDescent="0.25">
      <c r="A831" s="213"/>
      <c r="B831" s="103" t="s">
        <v>0</v>
      </c>
      <c r="C831" s="148" t="s">
        <v>24</v>
      </c>
      <c r="D831" s="109">
        <v>46206</v>
      </c>
      <c r="E831" s="105">
        <v>46228</v>
      </c>
      <c r="F831" s="110"/>
      <c r="G831" s="107">
        <v>-5544</v>
      </c>
      <c r="H831" s="108">
        <f t="shared" si="183"/>
        <v>23</v>
      </c>
      <c r="I831" s="108">
        <v>71</v>
      </c>
      <c r="J831" s="94">
        <f t="shared" si="184"/>
        <v>-9053352</v>
      </c>
      <c r="K831" s="147"/>
      <c r="L831" s="86"/>
    </row>
    <row r="832" spans="1:12" ht="17.25" x14ac:dyDescent="0.25">
      <c r="A832" s="213"/>
      <c r="B832" s="103" t="s">
        <v>0</v>
      </c>
      <c r="C832" s="148" t="s">
        <v>24</v>
      </c>
      <c r="D832" s="109">
        <v>46208</v>
      </c>
      <c r="E832" s="105">
        <v>46228</v>
      </c>
      <c r="F832" s="110"/>
      <c r="G832" s="107">
        <v>-1848</v>
      </c>
      <c r="H832" s="108">
        <f t="shared" si="183"/>
        <v>21</v>
      </c>
      <c r="I832" s="108">
        <v>71</v>
      </c>
      <c r="J832" s="94">
        <f t="shared" si="184"/>
        <v>-2755368</v>
      </c>
      <c r="K832" s="147"/>
      <c r="L832" s="86"/>
    </row>
    <row r="833" spans="1:12" ht="17.25" x14ac:dyDescent="0.25">
      <c r="A833" s="213"/>
      <c r="B833" s="103" t="s">
        <v>0</v>
      </c>
      <c r="C833" s="148" t="s">
        <v>24</v>
      </c>
      <c r="D833" s="109">
        <v>46208</v>
      </c>
      <c r="E833" s="105">
        <v>46228</v>
      </c>
      <c r="F833" s="110"/>
      <c r="G833" s="107">
        <v>-2310</v>
      </c>
      <c r="H833" s="108">
        <f t="shared" si="183"/>
        <v>21</v>
      </c>
      <c r="I833" s="108">
        <v>71</v>
      </c>
      <c r="J833" s="94">
        <f t="shared" si="184"/>
        <v>-3444210</v>
      </c>
      <c r="K833" s="147"/>
      <c r="L833" s="86"/>
    </row>
    <row r="834" spans="1:12" ht="17.25" x14ac:dyDescent="0.25">
      <c r="A834" s="213"/>
      <c r="B834" s="103" t="s">
        <v>0</v>
      </c>
      <c r="C834" s="148" t="s">
        <v>24</v>
      </c>
      <c r="D834" s="109">
        <v>46214</v>
      </c>
      <c r="E834" s="105">
        <v>46228</v>
      </c>
      <c r="F834" s="110"/>
      <c r="G834" s="107">
        <v>-2772</v>
      </c>
      <c r="H834" s="108">
        <f t="shared" si="183"/>
        <v>15</v>
      </c>
      <c r="I834" s="108">
        <v>71</v>
      </c>
      <c r="J834" s="94">
        <f t="shared" si="184"/>
        <v>-2952180</v>
      </c>
      <c r="K834" s="147"/>
      <c r="L834" s="86"/>
    </row>
    <row r="835" spans="1:12" ht="17.25" x14ac:dyDescent="0.25">
      <c r="A835" s="213"/>
      <c r="B835" s="103" t="s">
        <v>0</v>
      </c>
      <c r="C835" s="148" t="s">
        <v>24</v>
      </c>
      <c r="D835" s="109">
        <v>46224</v>
      </c>
      <c r="E835" s="105">
        <v>46228</v>
      </c>
      <c r="F835" s="110"/>
      <c r="G835" s="107">
        <v>-3696</v>
      </c>
      <c r="H835" s="108">
        <f t="shared" si="183"/>
        <v>5</v>
      </c>
      <c r="I835" s="108">
        <v>71</v>
      </c>
      <c r="J835" s="94">
        <f t="shared" si="184"/>
        <v>-1312080</v>
      </c>
      <c r="K835" s="147"/>
      <c r="L835" s="86"/>
    </row>
    <row r="836" spans="1:12" ht="17.25" hidden="1" x14ac:dyDescent="0.25">
      <c r="A836" s="213"/>
      <c r="B836" s="103" t="s">
        <v>0</v>
      </c>
      <c r="C836" s="148" t="s">
        <v>24</v>
      </c>
      <c r="D836" s="109"/>
      <c r="E836" s="105"/>
      <c r="F836" s="110"/>
      <c r="G836" s="107"/>
      <c r="H836" s="108"/>
      <c r="I836" s="108"/>
      <c r="J836" s="94"/>
      <c r="K836" s="147"/>
      <c r="L836" s="86"/>
    </row>
    <row r="837" spans="1:12" ht="17.25" hidden="1" x14ac:dyDescent="0.25">
      <c r="A837" s="213"/>
      <c r="B837" s="103" t="s">
        <v>0</v>
      </c>
      <c r="C837" s="148" t="s">
        <v>24</v>
      </c>
      <c r="D837" s="109"/>
      <c r="E837" s="105"/>
      <c r="F837" s="110"/>
      <c r="G837" s="107"/>
      <c r="H837" s="108"/>
      <c r="I837" s="108"/>
      <c r="J837" s="94"/>
      <c r="K837" s="147"/>
      <c r="L837" s="86"/>
    </row>
    <row r="838" spans="1:12" ht="17.25" hidden="1" x14ac:dyDescent="0.25">
      <c r="A838" s="213"/>
      <c r="B838" s="103" t="s">
        <v>0</v>
      </c>
      <c r="C838" s="148" t="s">
        <v>24</v>
      </c>
      <c r="D838" s="109"/>
      <c r="E838" s="105"/>
      <c r="F838" s="110"/>
      <c r="G838" s="107"/>
      <c r="H838" s="108"/>
      <c r="I838" s="108"/>
      <c r="J838" s="94"/>
      <c r="K838" s="147"/>
      <c r="L838" s="86"/>
    </row>
    <row r="839" spans="1:12" ht="17.25" hidden="1" x14ac:dyDescent="0.25">
      <c r="A839" s="213"/>
      <c r="B839" s="103" t="s">
        <v>0</v>
      </c>
      <c r="C839" s="148" t="s">
        <v>24</v>
      </c>
      <c r="D839" s="109"/>
      <c r="E839" s="105"/>
      <c r="F839" s="110"/>
      <c r="G839" s="107"/>
      <c r="H839" s="108"/>
      <c r="I839" s="108"/>
      <c r="J839" s="94"/>
      <c r="K839" s="147"/>
      <c r="L839" s="86"/>
    </row>
    <row r="840" spans="1:12" ht="16.5" x14ac:dyDescent="0.25">
      <c r="A840" s="214"/>
      <c r="B840" s="215" t="s">
        <v>20</v>
      </c>
      <c r="C840" s="216"/>
      <c r="D840" s="216"/>
      <c r="E840" s="216"/>
      <c r="F840" s="217"/>
      <c r="G840" s="111">
        <f>SUM(G828:G839)</f>
        <v>140289</v>
      </c>
      <c r="H840" s="108"/>
      <c r="I840" s="108"/>
      <c r="J840" s="69">
        <f>+SUBTOTAL(109,J828:J839)</f>
        <v>314298114</v>
      </c>
      <c r="K840" s="147"/>
      <c r="L840" s="86"/>
    </row>
    <row r="841" spans="1:12" ht="16.5" x14ac:dyDescent="0.25">
      <c r="A841" s="212">
        <v>8</v>
      </c>
      <c r="B841" s="103" t="s">
        <v>150</v>
      </c>
      <c r="C841" s="148" t="s">
        <v>24</v>
      </c>
      <c r="D841" s="105">
        <v>46199</v>
      </c>
      <c r="E841" s="105">
        <v>46228</v>
      </c>
      <c r="F841" s="111">
        <v>31530</v>
      </c>
      <c r="G841" s="112">
        <v>31530</v>
      </c>
      <c r="H841" s="108">
        <f t="shared" ref="H841:H843" si="185">E841-D841+1</f>
        <v>30</v>
      </c>
      <c r="I841" s="113">
        <v>70</v>
      </c>
      <c r="J841" s="94">
        <f>+I841*H841*G841</f>
        <v>66213000</v>
      </c>
      <c r="K841" s="147"/>
      <c r="L841" s="86"/>
    </row>
    <row r="842" spans="1:12" ht="16.5" x14ac:dyDescent="0.25">
      <c r="A842" s="213"/>
      <c r="B842" s="103" t="s">
        <v>150</v>
      </c>
      <c r="C842" s="148" t="s">
        <v>24</v>
      </c>
      <c r="D842" s="105">
        <v>46206</v>
      </c>
      <c r="E842" s="105">
        <v>46228</v>
      </c>
      <c r="F842" s="111"/>
      <c r="G842" s="112">
        <v>-630</v>
      </c>
      <c r="H842" s="108">
        <f t="shared" si="185"/>
        <v>23</v>
      </c>
      <c r="I842" s="113">
        <v>70</v>
      </c>
      <c r="J842" s="94">
        <f t="shared" ref="J842:J843" si="186">+I842*H842*G842</f>
        <v>-1014300</v>
      </c>
      <c r="K842" s="147"/>
      <c r="L842" s="86"/>
    </row>
    <row r="843" spans="1:12" ht="16.5" x14ac:dyDescent="0.25">
      <c r="A843" s="213"/>
      <c r="B843" s="103" t="s">
        <v>150</v>
      </c>
      <c r="C843" s="148" t="s">
        <v>24</v>
      </c>
      <c r="D843" s="105">
        <v>46208</v>
      </c>
      <c r="E843" s="105">
        <v>46228</v>
      </c>
      <c r="F843" s="111"/>
      <c r="G843" s="112">
        <v>-910</v>
      </c>
      <c r="H843" s="108">
        <f t="shared" si="185"/>
        <v>21</v>
      </c>
      <c r="I843" s="113">
        <v>70</v>
      </c>
      <c r="J843" s="94">
        <f t="shared" si="186"/>
        <v>-1337700</v>
      </c>
      <c r="K843" s="147"/>
      <c r="L843" s="86"/>
    </row>
    <row r="844" spans="1:12" ht="16.5" x14ac:dyDescent="0.25">
      <c r="A844" s="213"/>
      <c r="B844" s="103" t="s">
        <v>150</v>
      </c>
      <c r="C844" s="152" t="s">
        <v>24</v>
      </c>
      <c r="D844" s="109">
        <v>46213</v>
      </c>
      <c r="E844" s="105">
        <v>46228</v>
      </c>
      <c r="F844" s="135"/>
      <c r="G844" s="112">
        <v>-1300</v>
      </c>
      <c r="H844" s="108">
        <f t="shared" ref="H844" si="187">E844-D844+1</f>
        <v>16</v>
      </c>
      <c r="I844" s="113">
        <v>70</v>
      </c>
      <c r="J844" s="94">
        <f t="shared" ref="J844" si="188">+I844*H844*G844</f>
        <v>-1456000</v>
      </c>
      <c r="K844" s="153"/>
      <c r="L844" s="86"/>
    </row>
    <row r="845" spans="1:12" ht="16.5" x14ac:dyDescent="0.25">
      <c r="A845" s="213"/>
      <c r="B845" s="103" t="s">
        <v>150</v>
      </c>
      <c r="C845" s="152" t="s">
        <v>24</v>
      </c>
      <c r="D845" s="109">
        <v>46220</v>
      </c>
      <c r="E845" s="105">
        <v>46228</v>
      </c>
      <c r="F845" s="135"/>
      <c r="G845" s="112">
        <v>-1009</v>
      </c>
      <c r="H845" s="108">
        <f t="shared" ref="H845" si="189">E845-D845+1</f>
        <v>9</v>
      </c>
      <c r="I845" s="113">
        <v>70</v>
      </c>
      <c r="J845" s="94">
        <f t="shared" ref="J845" si="190">+I845*H845*G845</f>
        <v>-635670</v>
      </c>
      <c r="K845" s="153"/>
      <c r="L845" s="86"/>
    </row>
    <row r="846" spans="1:12" ht="16.5" x14ac:dyDescent="0.25">
      <c r="A846" s="214"/>
      <c r="B846" s="215" t="s">
        <v>20</v>
      </c>
      <c r="C846" s="216"/>
      <c r="D846" s="216"/>
      <c r="E846" s="216"/>
      <c r="F846" s="217"/>
      <c r="G846" s="111">
        <f>SUM(G841:G845)</f>
        <v>27681</v>
      </c>
      <c r="H846" s="108"/>
      <c r="I846" s="108"/>
      <c r="J846" s="69">
        <f>+SUBTOTAL(109,J841:J845)</f>
        <v>61769330</v>
      </c>
      <c r="K846" s="147"/>
      <c r="L846" s="86"/>
    </row>
    <row r="847" spans="1:12" ht="17.25" x14ac:dyDescent="0.25">
      <c r="A847" s="212">
        <v>9</v>
      </c>
      <c r="B847" s="103" t="s">
        <v>151</v>
      </c>
      <c r="C847" s="148" t="s">
        <v>24</v>
      </c>
      <c r="D847" s="105">
        <v>46199</v>
      </c>
      <c r="E847" s="105">
        <v>46228</v>
      </c>
      <c r="F847" s="106">
        <v>29099</v>
      </c>
      <c r="G847" s="107">
        <v>29099</v>
      </c>
      <c r="H847" s="108">
        <f t="shared" ref="H847:H851" si="191">E847-D847+1</f>
        <v>30</v>
      </c>
      <c r="I847" s="108">
        <v>70</v>
      </c>
      <c r="J847" s="94">
        <f>+I847*H847*G847</f>
        <v>61107900</v>
      </c>
      <c r="K847" s="147"/>
      <c r="L847" s="86"/>
    </row>
    <row r="848" spans="1:12" ht="17.25" x14ac:dyDescent="0.25">
      <c r="A848" s="213"/>
      <c r="B848" s="103" t="s">
        <v>151</v>
      </c>
      <c r="C848" s="148" t="s">
        <v>24</v>
      </c>
      <c r="D848" s="105">
        <v>46206</v>
      </c>
      <c r="E848" s="105">
        <v>46228</v>
      </c>
      <c r="F848" s="106"/>
      <c r="G848" s="107">
        <v>-210</v>
      </c>
      <c r="H848" s="108">
        <f t="shared" si="191"/>
        <v>23</v>
      </c>
      <c r="I848" s="108">
        <v>70</v>
      </c>
      <c r="J848" s="94">
        <f t="shared" ref="J848:J851" si="192">+I848*H848*G848</f>
        <v>-338100</v>
      </c>
      <c r="K848" s="147"/>
      <c r="L848" s="86"/>
    </row>
    <row r="849" spans="1:12" ht="17.25" x14ac:dyDescent="0.25">
      <c r="A849" s="213"/>
      <c r="B849" s="103" t="s">
        <v>151</v>
      </c>
      <c r="C849" s="148" t="s">
        <v>24</v>
      </c>
      <c r="D849" s="105">
        <v>46208</v>
      </c>
      <c r="E849" s="105">
        <v>46228</v>
      </c>
      <c r="F849" s="106"/>
      <c r="G849" s="107">
        <v>-1726</v>
      </c>
      <c r="H849" s="108">
        <f t="shared" si="191"/>
        <v>21</v>
      </c>
      <c r="I849" s="108">
        <v>70</v>
      </c>
      <c r="J849" s="94">
        <f t="shared" si="192"/>
        <v>-2537220</v>
      </c>
      <c r="K849" s="147"/>
      <c r="L849" s="86"/>
    </row>
    <row r="850" spans="1:12" ht="17.25" x14ac:dyDescent="0.25">
      <c r="A850" s="213"/>
      <c r="B850" s="103" t="s">
        <v>151</v>
      </c>
      <c r="C850" s="152" t="s">
        <v>24</v>
      </c>
      <c r="D850" s="105">
        <v>46213</v>
      </c>
      <c r="E850" s="105">
        <v>46228</v>
      </c>
      <c r="F850" s="106"/>
      <c r="G850" s="107">
        <v>-1300</v>
      </c>
      <c r="H850" s="108">
        <f t="shared" ref="H850" si="193">E850-D850+1</f>
        <v>16</v>
      </c>
      <c r="I850" s="108">
        <v>70</v>
      </c>
      <c r="J850" s="94">
        <f t="shared" ref="J850" si="194">+I850*H850*G850</f>
        <v>-1456000</v>
      </c>
      <c r="K850" s="153"/>
      <c r="L850" s="86"/>
    </row>
    <row r="851" spans="1:12" ht="17.25" x14ac:dyDescent="0.25">
      <c r="A851" s="213"/>
      <c r="B851" s="103" t="s">
        <v>151</v>
      </c>
      <c r="C851" s="148" t="s">
        <v>24</v>
      </c>
      <c r="D851" s="105">
        <v>46224</v>
      </c>
      <c r="E851" s="105">
        <v>46228</v>
      </c>
      <c r="F851" s="106"/>
      <c r="G851" s="107">
        <v>-420</v>
      </c>
      <c r="H851" s="108">
        <f t="shared" si="191"/>
        <v>5</v>
      </c>
      <c r="I851" s="108">
        <v>70</v>
      </c>
      <c r="J851" s="94">
        <f t="shared" si="192"/>
        <v>-147000</v>
      </c>
      <c r="K851" s="147"/>
      <c r="L851" s="86"/>
    </row>
    <row r="852" spans="1:12" ht="16.5" x14ac:dyDescent="0.25">
      <c r="A852" s="214"/>
      <c r="B852" s="215" t="s">
        <v>20</v>
      </c>
      <c r="C852" s="216"/>
      <c r="D852" s="216"/>
      <c r="E852" s="216"/>
      <c r="F852" s="217"/>
      <c r="G852" s="111">
        <f>SUM(G847:G851)</f>
        <v>25443</v>
      </c>
      <c r="H852" s="108"/>
      <c r="I852" s="108"/>
      <c r="J852" s="69">
        <f>+SUBTOTAL(109,J847:J851)</f>
        <v>56629580</v>
      </c>
      <c r="K852" s="147"/>
      <c r="L852" s="86"/>
    </row>
    <row r="853" spans="1:12" ht="17.25" x14ac:dyDescent="0.25">
      <c r="A853" s="212">
        <v>10</v>
      </c>
      <c r="B853" s="103" t="s">
        <v>171</v>
      </c>
      <c r="C853" s="148" t="s">
        <v>24</v>
      </c>
      <c r="D853" s="105">
        <v>46199</v>
      </c>
      <c r="E853" s="105">
        <v>46228</v>
      </c>
      <c r="F853" s="106">
        <v>1000</v>
      </c>
      <c r="G853" s="107">
        <f>+F853</f>
        <v>1000</v>
      </c>
      <c r="H853" s="108">
        <f t="shared" ref="H853" si="195">E853-D853+1</f>
        <v>30</v>
      </c>
      <c r="I853" s="108">
        <v>45</v>
      </c>
      <c r="J853" s="94">
        <f>+I853*H853*G853</f>
        <v>1350000</v>
      </c>
      <c r="K853" s="147"/>
      <c r="L853" s="86"/>
    </row>
    <row r="854" spans="1:12" ht="17.25" x14ac:dyDescent="0.25">
      <c r="A854" s="213"/>
      <c r="B854" s="103" t="s">
        <v>171</v>
      </c>
      <c r="C854" s="152" t="s">
        <v>24</v>
      </c>
      <c r="D854" s="109">
        <v>46216</v>
      </c>
      <c r="E854" s="105">
        <v>46228</v>
      </c>
      <c r="F854" s="110"/>
      <c r="G854" s="107">
        <v>-1000</v>
      </c>
      <c r="H854" s="108">
        <f t="shared" ref="H854" si="196">E854-D854+1</f>
        <v>13</v>
      </c>
      <c r="I854" s="108">
        <v>45</v>
      </c>
      <c r="J854" s="94">
        <f>+I854*H854*G854</f>
        <v>-585000</v>
      </c>
      <c r="K854" s="153"/>
      <c r="L854" s="86"/>
    </row>
    <row r="855" spans="1:12" ht="16.5" x14ac:dyDescent="0.25">
      <c r="A855" s="214"/>
      <c r="B855" s="215" t="s">
        <v>20</v>
      </c>
      <c r="C855" s="216"/>
      <c r="D855" s="216"/>
      <c r="E855" s="216"/>
      <c r="F855" s="217"/>
      <c r="G855" s="111">
        <f>SUM(G853:G854)</f>
        <v>0</v>
      </c>
      <c r="H855" s="114"/>
      <c r="I855" s="108"/>
      <c r="J855" s="69">
        <f>+SUBTOTAL(109,J853:J854)</f>
        <v>765000</v>
      </c>
      <c r="K855" s="147"/>
      <c r="L855" s="86"/>
    </row>
    <row r="856" spans="1:12" ht="16.5" x14ac:dyDescent="0.25">
      <c r="A856" s="149" t="str">
        <f>ROMAN(2,0)</f>
        <v>II</v>
      </c>
      <c r="B856" s="116" t="s">
        <v>56</v>
      </c>
      <c r="C856" s="149"/>
      <c r="D856" s="149"/>
      <c r="E856" s="149"/>
      <c r="F856" s="149"/>
      <c r="G856" s="111"/>
      <c r="H856" s="114"/>
      <c r="I856" s="114"/>
      <c r="J856" s="87"/>
      <c r="K856" s="97"/>
      <c r="L856" s="86"/>
    </row>
    <row r="857" spans="1:12" ht="112.5" customHeight="1" x14ac:dyDescent="0.25">
      <c r="A857" s="148">
        <v>1</v>
      </c>
      <c r="B857" s="19" t="s">
        <v>58</v>
      </c>
      <c r="C857" s="148" t="s">
        <v>57</v>
      </c>
      <c r="D857" s="148"/>
      <c r="E857" s="149"/>
      <c r="F857" s="117">
        <f>73-8</f>
        <v>65</v>
      </c>
      <c r="G857" s="117">
        <v>3</v>
      </c>
      <c r="H857" s="108"/>
      <c r="I857" s="118">
        <v>5000000</v>
      </c>
      <c r="J857" s="136">
        <f>G857*I857</f>
        <v>15000000</v>
      </c>
      <c r="K857" s="151" t="s">
        <v>310</v>
      </c>
      <c r="L857" s="85">
        <f>J783+J793+J801+J813+J820+J827+J840+J846+J852+J855+J857</f>
        <v>858055144</v>
      </c>
    </row>
    <row r="858" spans="1:12" ht="25.5" customHeight="1" x14ac:dyDescent="0.25">
      <c r="A858" s="148">
        <v>2</v>
      </c>
      <c r="B858" s="19" t="s">
        <v>73</v>
      </c>
      <c r="C858" s="148" t="s">
        <v>57</v>
      </c>
      <c r="D858" s="148"/>
      <c r="E858" s="149"/>
      <c r="F858" s="117">
        <v>1</v>
      </c>
      <c r="G858" s="117"/>
      <c r="H858" s="114"/>
      <c r="I858" s="118">
        <v>4500000</v>
      </c>
      <c r="J858" s="87"/>
      <c r="K858" s="97"/>
      <c r="L858" s="86"/>
    </row>
    <row r="859" spans="1:12" ht="16.5" x14ac:dyDescent="0.25">
      <c r="A859" s="210" t="s">
        <v>305</v>
      </c>
      <c r="B859" s="210"/>
      <c r="C859" s="210"/>
      <c r="D859" s="210"/>
      <c r="E859" s="210"/>
      <c r="F859" s="210"/>
      <c r="G859" s="210"/>
      <c r="H859" s="210"/>
      <c r="I859" s="210"/>
      <c r="J859" s="69">
        <f>SUBTOTAL(9,J775:J858)</f>
        <v>858055144</v>
      </c>
      <c r="K859" s="98"/>
    </row>
    <row r="860" spans="1:12" ht="16.5" x14ac:dyDescent="0.25">
      <c r="A860" s="211" t="s">
        <v>54</v>
      </c>
      <c r="B860" s="211"/>
      <c r="C860" s="211"/>
      <c r="D860" s="211"/>
      <c r="E860" s="211"/>
      <c r="F860" s="211"/>
      <c r="G860" s="211"/>
      <c r="H860" s="211"/>
      <c r="I860" s="211"/>
      <c r="J860" s="89">
        <f>ROUND(J859*8%,0)</f>
        <v>68644412</v>
      </c>
      <c r="K860" s="146"/>
      <c r="L860" s="86"/>
    </row>
    <row r="861" spans="1:12" ht="16.5" x14ac:dyDescent="0.25">
      <c r="A861" s="211" t="s">
        <v>27</v>
      </c>
      <c r="B861" s="211"/>
      <c r="C861" s="211"/>
      <c r="D861" s="211"/>
      <c r="E861" s="211"/>
      <c r="F861" s="211"/>
      <c r="G861" s="211"/>
      <c r="H861" s="211"/>
      <c r="I861" s="211"/>
      <c r="J861" s="69">
        <f>+J859+J860</f>
        <v>926699556</v>
      </c>
      <c r="K861" s="146"/>
      <c r="L861" s="86"/>
    </row>
    <row r="862" spans="1:12" ht="16.5" x14ac:dyDescent="0.25">
      <c r="A862" s="99" t="s">
        <v>123</v>
      </c>
      <c r="B862" s="100" t="s">
        <v>308</v>
      </c>
      <c r="C862" s="150"/>
      <c r="D862" s="150"/>
      <c r="E862" s="150"/>
      <c r="F862" s="150"/>
      <c r="G862" s="150"/>
      <c r="H862" s="150"/>
      <c r="I862" s="150"/>
      <c r="J862" s="90"/>
      <c r="K862" s="150"/>
      <c r="L862" s="1"/>
    </row>
    <row r="863" spans="1:12" ht="16.5" x14ac:dyDescent="0.25">
      <c r="A863" s="5" t="s">
        <v>60</v>
      </c>
      <c r="B863" s="5"/>
      <c r="C863" s="30"/>
      <c r="D863" s="30"/>
      <c r="E863" s="30"/>
      <c r="F863" s="5"/>
      <c r="G863" s="5"/>
      <c r="H863" s="5"/>
      <c r="I863" s="5"/>
      <c r="J863" s="5"/>
      <c r="K863" s="102"/>
      <c r="L863" s="86"/>
    </row>
    <row r="864" spans="1:12" ht="15.75" x14ac:dyDescent="0.25">
      <c r="A864" s="197" t="s">
        <v>21</v>
      </c>
      <c r="B864" s="197"/>
      <c r="C864" s="197"/>
      <c r="D864" s="197"/>
      <c r="E864" s="197" t="s">
        <v>22</v>
      </c>
      <c r="F864" s="197"/>
      <c r="G864" s="197"/>
      <c r="H864" s="197"/>
      <c r="I864" s="197"/>
      <c r="J864" s="197"/>
      <c r="K864" s="197"/>
      <c r="L864" s="86"/>
    </row>
    <row r="868" spans="1:11" ht="15.75" x14ac:dyDescent="0.25">
      <c r="A868" s="197" t="s">
        <v>1</v>
      </c>
      <c r="B868" s="197"/>
      <c r="C868" s="197"/>
      <c r="D868" s="197"/>
      <c r="E868" s="197"/>
      <c r="F868" s="197"/>
      <c r="G868" s="197"/>
      <c r="H868" s="197"/>
      <c r="I868" s="197"/>
      <c r="J868" s="197"/>
      <c r="K868" s="197"/>
    </row>
    <row r="869" spans="1:11" ht="15.75" x14ac:dyDescent="0.25">
      <c r="A869" s="197" t="s">
        <v>2</v>
      </c>
      <c r="B869" s="197"/>
      <c r="C869" s="197"/>
      <c r="D869" s="197"/>
      <c r="E869" s="197"/>
      <c r="F869" s="197"/>
      <c r="G869" s="197"/>
      <c r="H869" s="197"/>
      <c r="I869" s="197"/>
      <c r="J869" s="197"/>
      <c r="K869" s="197"/>
    </row>
    <row r="870" spans="1:11" x14ac:dyDescent="0.25">
      <c r="A870" s="18"/>
      <c r="B870" s="18"/>
      <c r="C870" s="18"/>
      <c r="D870" s="18"/>
      <c r="E870" s="18"/>
      <c r="F870" s="18"/>
      <c r="G870" s="18"/>
      <c r="H870" s="18"/>
      <c r="I870" s="18"/>
      <c r="J870" s="18"/>
      <c r="K870" s="18"/>
    </row>
    <row r="871" spans="1:11" ht="20.25" x14ac:dyDescent="0.25">
      <c r="A871" s="204" t="s">
        <v>29</v>
      </c>
      <c r="B871" s="204"/>
      <c r="C871" s="204"/>
      <c r="D871" s="204"/>
      <c r="E871" s="204"/>
      <c r="F871" s="204"/>
      <c r="G871" s="204"/>
      <c r="H871" s="204"/>
      <c r="I871" s="204"/>
      <c r="J871" s="204"/>
      <c r="K871" s="204"/>
    </row>
    <row r="872" spans="1:11" ht="15.75" x14ac:dyDescent="0.25">
      <c r="A872" s="197" t="s">
        <v>312</v>
      </c>
      <c r="B872" s="197"/>
      <c r="C872" s="197"/>
      <c r="D872" s="197"/>
      <c r="E872" s="197"/>
      <c r="F872" s="197"/>
      <c r="G872" s="197"/>
      <c r="H872" s="197"/>
      <c r="I872" s="197"/>
      <c r="J872" s="197"/>
      <c r="K872" s="197"/>
    </row>
    <row r="873" spans="1:11" ht="15.75" x14ac:dyDescent="0.25">
      <c r="A873" s="165"/>
      <c r="B873" s="165"/>
      <c r="C873" s="165"/>
      <c r="D873" s="165"/>
      <c r="E873" s="165"/>
      <c r="F873" s="165"/>
      <c r="G873" s="165"/>
      <c r="H873" s="165"/>
      <c r="I873" s="165"/>
      <c r="J873" s="165"/>
      <c r="K873" s="165"/>
    </row>
    <row r="874" spans="1:11" ht="16.5" x14ac:dyDescent="0.25">
      <c r="A874" s="219" t="str">
        <f>ĐCCN!$A$7</f>
        <v>- Căn cứ Hợp đồng kinh tế số 0412/HĐKT2025/TP-VIETPANEL ký ngày 04/12/2025 giữa Công ty TNHH xây dựng Việt Panel và Công ty Cổ phần Tập đoàn Thiết bị xây dựng TP về việc cho thuê thiết bị xây dựng.</v>
      </c>
      <c r="B874" s="219"/>
      <c r="C874" s="219"/>
      <c r="D874" s="219"/>
      <c r="E874" s="219"/>
      <c r="F874" s="219"/>
      <c r="G874" s="219"/>
      <c r="H874" s="219"/>
      <c r="I874" s="219"/>
      <c r="J874" s="219"/>
      <c r="K874" s="219"/>
    </row>
    <row r="875" spans="1:11" ht="16.5" x14ac:dyDescent="0.25">
      <c r="A875" s="6" t="s">
        <v>51</v>
      </c>
      <c r="B875" s="5" t="s">
        <v>144</v>
      </c>
      <c r="C875" s="30"/>
      <c r="D875" s="30"/>
      <c r="E875" s="30"/>
      <c r="F875" s="5"/>
      <c r="G875" s="5"/>
      <c r="H875" s="5"/>
      <c r="I875" s="5"/>
      <c r="J875" s="5"/>
      <c r="K875" s="30"/>
    </row>
    <row r="876" spans="1:11" ht="16.5" x14ac:dyDescent="0.25">
      <c r="A876" s="6" t="s">
        <v>59</v>
      </c>
      <c r="B876" s="6" t="s">
        <v>145</v>
      </c>
      <c r="C876" s="30"/>
      <c r="D876" s="30"/>
      <c r="E876" s="30"/>
      <c r="F876" s="5"/>
      <c r="G876" s="5"/>
      <c r="H876" s="5"/>
      <c r="I876" s="5"/>
      <c r="J876" s="5"/>
      <c r="K876" s="30"/>
    </row>
    <row r="877" spans="1:11" ht="16.5" x14ac:dyDescent="0.25">
      <c r="A877" s="6" t="s">
        <v>317</v>
      </c>
      <c r="B877" s="5"/>
      <c r="C877" s="30"/>
      <c r="D877" s="30"/>
      <c r="E877" s="30"/>
      <c r="F877" s="5"/>
      <c r="G877" s="5"/>
      <c r="H877" s="5"/>
      <c r="I877" s="5"/>
      <c r="J877" s="5"/>
      <c r="K877" s="30"/>
    </row>
    <row r="878" spans="1:11" ht="16.5" x14ac:dyDescent="0.25">
      <c r="A878" s="5" t="s">
        <v>172</v>
      </c>
      <c r="B878" s="5"/>
      <c r="C878" s="30"/>
      <c r="D878" s="30"/>
      <c r="E878" s="30"/>
      <c r="F878" s="5"/>
      <c r="G878" s="5"/>
      <c r="H878" s="5"/>
      <c r="I878" s="5"/>
      <c r="J878" s="5"/>
      <c r="K878" s="30"/>
    </row>
    <row r="879" spans="1:11" ht="16.5" x14ac:dyDescent="0.25">
      <c r="A879" s="7" t="str">
        <f>$A$12</f>
        <v>BÊN THUÊ (BÊN A): CÔNG TY TNHH XÂY DỰNG VIỆT PANEL</v>
      </c>
      <c r="B879" s="7"/>
      <c r="C879" s="174"/>
      <c r="D879" s="174"/>
      <c r="E879" s="174"/>
      <c r="F879" s="7"/>
      <c r="G879" s="7"/>
      <c r="H879" s="7"/>
      <c r="I879" s="7"/>
      <c r="J879" s="7"/>
      <c r="K879" s="174"/>
    </row>
    <row r="880" spans="1:11" ht="16.5" x14ac:dyDescent="0.25">
      <c r="A880" s="5" t="s">
        <v>125</v>
      </c>
      <c r="B880" s="5" t="str">
        <f>ĐCCN!$C$9</f>
        <v>Thôn Đông Phù, Xã Tiên Du, Tỉnh Bắc Ninh, Việt Nam</v>
      </c>
      <c r="C880" s="30"/>
      <c r="D880" s="30"/>
      <c r="E880" s="30"/>
      <c r="F880" s="5"/>
      <c r="G880" s="5"/>
      <c r="H880" s="5"/>
      <c r="I880" s="5"/>
      <c r="J880" s="5"/>
      <c r="K880" s="30"/>
    </row>
    <row r="881" spans="1:11" ht="16.5" x14ac:dyDescent="0.25">
      <c r="A881" s="5" t="s">
        <v>5</v>
      </c>
      <c r="B881" s="5"/>
      <c r="C881" s="198" t="str">
        <f>ĐCCN!$C$10</f>
        <v>0222 6535 699</v>
      </c>
      <c r="D881" s="208"/>
      <c r="E881" s="5"/>
      <c r="F881" s="5"/>
      <c r="G881" s="5"/>
      <c r="H881" s="5"/>
      <c r="I881" s="5"/>
      <c r="J881" s="5"/>
      <c r="K881" s="30"/>
    </row>
    <row r="882" spans="1:11" ht="16.5" x14ac:dyDescent="0.25">
      <c r="A882" s="5" t="s">
        <v>4</v>
      </c>
      <c r="B882" s="5"/>
      <c r="C882" s="209">
        <f>ĐCCN!$C$11</f>
        <v>616139999</v>
      </c>
      <c r="D882" s="209"/>
      <c r="E882" s="169" t="str">
        <f>ĐCCN!$E$11</f>
        <v>Tại MB Ngân hàng quân đội</v>
      </c>
      <c r="F882" s="5"/>
      <c r="G882" s="5"/>
      <c r="H882" s="5"/>
      <c r="I882" s="5"/>
      <c r="J882" s="5"/>
      <c r="K882" s="30"/>
    </row>
    <row r="883" spans="1:11" ht="16.5" x14ac:dyDescent="0.25">
      <c r="A883" s="5" t="s">
        <v>6</v>
      </c>
      <c r="B883" s="6"/>
      <c r="C883" s="198" t="str">
        <f>ĐCCN!$C$12</f>
        <v>2300856941</v>
      </c>
      <c r="D883" s="198"/>
      <c r="E883" s="6"/>
      <c r="F883" s="6"/>
      <c r="G883" s="5"/>
      <c r="H883" s="5"/>
      <c r="I883" s="5"/>
      <c r="J883" s="5"/>
      <c r="K883" s="30"/>
    </row>
    <row r="884" spans="1:11" ht="16.5" x14ac:dyDescent="0.25">
      <c r="A884" s="5" t="s">
        <v>7</v>
      </c>
      <c r="B884" s="5"/>
      <c r="C884" s="7" t="str">
        <f>ĐCCN!$C$13</f>
        <v>Ông Lưu Đình Cải</v>
      </c>
      <c r="D884" s="174"/>
      <c r="E884" s="5" t="str">
        <f>ĐCCN!$E$13</f>
        <v>Chức vụ: Giám đốc</v>
      </c>
      <c r="F884" s="5"/>
      <c r="G884" s="5"/>
      <c r="H884" s="5"/>
      <c r="I884" s="5"/>
      <c r="J884" s="5"/>
      <c r="K884" s="30"/>
    </row>
    <row r="885" spans="1:11" ht="16.5" x14ac:dyDescent="0.25">
      <c r="A885" s="5"/>
      <c r="B885" s="5"/>
      <c r="C885" s="30"/>
      <c r="D885" s="30"/>
      <c r="E885" s="30"/>
      <c r="F885" s="5"/>
      <c r="G885" s="5"/>
      <c r="H885" s="5"/>
      <c r="I885" s="5"/>
      <c r="J885" s="5"/>
      <c r="K885" s="30"/>
    </row>
    <row r="886" spans="1:11" ht="16.5" x14ac:dyDescent="0.25">
      <c r="A886" s="7" t="s">
        <v>8</v>
      </c>
      <c r="B886" s="7"/>
      <c r="C886" s="174"/>
      <c r="D886" s="174"/>
      <c r="E886" s="174"/>
      <c r="F886" s="7"/>
      <c r="G886" s="7"/>
      <c r="H886" s="7"/>
      <c r="I886" s="7"/>
      <c r="J886" s="7"/>
      <c r="K886" s="174"/>
    </row>
    <row r="887" spans="1:11" ht="16.5" x14ac:dyDescent="0.25">
      <c r="A887" s="5" t="s">
        <v>115</v>
      </c>
      <c r="B887" s="5"/>
      <c r="C887" s="30"/>
      <c r="D887" s="30"/>
      <c r="E887" s="30"/>
      <c r="F887" s="5"/>
      <c r="G887" s="5"/>
      <c r="H887" s="5"/>
      <c r="I887" s="5"/>
      <c r="J887" s="5"/>
      <c r="K887" s="30"/>
    </row>
    <row r="888" spans="1:11" ht="16.5" x14ac:dyDescent="0.25">
      <c r="A888" s="5" t="s">
        <v>5</v>
      </c>
      <c r="B888" s="5"/>
      <c r="C888" s="6" t="s">
        <v>9</v>
      </c>
      <c r="D888" s="24"/>
      <c r="E888" s="30"/>
      <c r="F888" s="5"/>
      <c r="G888" s="5"/>
      <c r="H888" s="5"/>
      <c r="I888" s="5"/>
      <c r="J888" s="5"/>
      <c r="K888" s="30"/>
    </row>
    <row r="889" spans="1:11" ht="16.5" x14ac:dyDescent="0.25">
      <c r="A889" s="5" t="s">
        <v>10</v>
      </c>
      <c r="B889" s="5"/>
      <c r="C889" s="32" t="str">
        <f>$C$22</f>
        <v>8331100096008</v>
      </c>
      <c r="D889" s="17"/>
      <c r="E889" s="201" t="str">
        <f>$E$22</f>
        <v>Tại Ngân hàng Thương mại cổ phần Quân đội - Chi nhánh Hoàng Quốc Việt</v>
      </c>
      <c r="F889" s="201"/>
      <c r="G889" s="201"/>
      <c r="H889" s="201"/>
      <c r="I889" s="201"/>
      <c r="J889" s="201"/>
      <c r="K889" s="201"/>
    </row>
    <row r="890" spans="1:11" ht="16.5" x14ac:dyDescent="0.25">
      <c r="A890" s="5" t="s">
        <v>6</v>
      </c>
      <c r="B890" s="5"/>
      <c r="C890" s="6" t="s">
        <v>19</v>
      </c>
      <c r="D890" s="24"/>
      <c r="E890" s="169"/>
      <c r="F890" s="5"/>
      <c r="G890" s="5"/>
      <c r="H890" s="5"/>
      <c r="I890" s="5"/>
      <c r="J890" s="5"/>
      <c r="K890" s="30"/>
    </row>
    <row r="891" spans="1:11" ht="16.5" x14ac:dyDescent="0.25">
      <c r="A891" s="5" t="s">
        <v>7</v>
      </c>
      <c r="B891" s="5"/>
      <c r="C891" s="7" t="s">
        <v>116</v>
      </c>
      <c r="D891" s="174"/>
      <c r="E891" s="169" t="s">
        <v>117</v>
      </c>
      <c r="F891" s="5"/>
      <c r="G891" s="5"/>
      <c r="H891" s="5"/>
      <c r="I891" s="5"/>
      <c r="J891" s="5"/>
      <c r="K891" s="30"/>
    </row>
    <row r="892" spans="1:11" ht="16.5" x14ac:dyDescent="0.25">
      <c r="A892" s="5"/>
      <c r="B892" s="5"/>
      <c r="C892" s="30"/>
      <c r="D892" s="30"/>
      <c r="E892" s="30"/>
      <c r="F892" s="5"/>
      <c r="G892" s="5"/>
      <c r="H892" s="5"/>
      <c r="I892" s="5"/>
      <c r="J892" s="5"/>
      <c r="K892" s="30"/>
    </row>
    <row r="893" spans="1:11" ht="16.5" x14ac:dyDescent="0.25">
      <c r="A893" s="5" t="s">
        <v>316</v>
      </c>
      <c r="B893" s="5"/>
      <c r="C893" s="30"/>
      <c r="D893" s="30"/>
      <c r="E893" s="30"/>
      <c r="F893" s="5"/>
      <c r="G893" s="5"/>
      <c r="H893" s="5"/>
      <c r="I893" s="5"/>
      <c r="J893" s="5"/>
      <c r="K893" s="30"/>
    </row>
    <row r="895" spans="1:11" ht="66" x14ac:dyDescent="0.25">
      <c r="A895" s="3" t="s">
        <v>12</v>
      </c>
      <c r="B895" s="3" t="s">
        <v>13</v>
      </c>
      <c r="C895" s="3" t="s">
        <v>23</v>
      </c>
      <c r="D895" s="3" t="s">
        <v>61</v>
      </c>
      <c r="E895" s="3" t="s">
        <v>14</v>
      </c>
      <c r="F895" s="3" t="s">
        <v>15</v>
      </c>
      <c r="G895" s="3" t="s">
        <v>16</v>
      </c>
      <c r="H895" s="3" t="s">
        <v>17</v>
      </c>
      <c r="I895" s="3" t="s">
        <v>26</v>
      </c>
      <c r="J895" s="171" t="s">
        <v>25</v>
      </c>
      <c r="K895" s="171" t="s">
        <v>18</v>
      </c>
    </row>
    <row r="896" spans="1:11" ht="16.5" x14ac:dyDescent="0.25">
      <c r="A896" s="3" t="str">
        <f>ROMAN(1,0)</f>
        <v>I</v>
      </c>
      <c r="B896" s="21" t="s">
        <v>55</v>
      </c>
      <c r="C896" s="3"/>
      <c r="D896" s="3"/>
      <c r="E896" s="3"/>
      <c r="F896" s="3"/>
      <c r="G896" s="3"/>
      <c r="H896" s="3"/>
      <c r="I896" s="3"/>
      <c r="J896" s="69">
        <f>SUBTOTAL(9,J897:J946)</f>
        <v>824542379</v>
      </c>
      <c r="K896" s="173"/>
    </row>
    <row r="897" spans="1:11" ht="17.25" x14ac:dyDescent="0.25">
      <c r="A897" s="218">
        <v>1</v>
      </c>
      <c r="B897" s="103" t="s">
        <v>148</v>
      </c>
      <c r="C897" s="172" t="s">
        <v>49</v>
      </c>
      <c r="D897" s="105">
        <v>46229</v>
      </c>
      <c r="E897" s="105">
        <v>46259</v>
      </c>
      <c r="F897" s="106">
        <v>16388</v>
      </c>
      <c r="G897" s="107">
        <f>F897</f>
        <v>16388</v>
      </c>
      <c r="H897" s="108">
        <f>E897-D897+1</f>
        <v>31</v>
      </c>
      <c r="I897" s="108">
        <v>85</v>
      </c>
      <c r="J897" s="94">
        <f>+I897*H897*G897</f>
        <v>43182380</v>
      </c>
      <c r="K897" s="173"/>
    </row>
    <row r="898" spans="1:11" ht="17.25" x14ac:dyDescent="0.25">
      <c r="A898" s="218"/>
      <c r="B898" s="103" t="s">
        <v>148</v>
      </c>
      <c r="C898" s="172" t="s">
        <v>49</v>
      </c>
      <c r="D898" s="109">
        <v>46237</v>
      </c>
      <c r="E898" s="105">
        <v>46259</v>
      </c>
      <c r="F898" s="110"/>
      <c r="G898" s="107">
        <v>-600</v>
      </c>
      <c r="H898" s="108">
        <f t="shared" ref="H898:H900" si="197">E898-D898+1</f>
        <v>23</v>
      </c>
      <c r="I898" s="108">
        <v>85</v>
      </c>
      <c r="J898" s="94">
        <f t="shared" ref="J898:J900" si="198">+I898*H898*G898</f>
        <v>-1173000</v>
      </c>
      <c r="K898" s="173"/>
    </row>
    <row r="899" spans="1:11" ht="17.25" x14ac:dyDescent="0.25">
      <c r="A899" s="218"/>
      <c r="B899" s="103" t="s">
        <v>148</v>
      </c>
      <c r="C899" s="172" t="s">
        <v>49</v>
      </c>
      <c r="D899" s="109">
        <v>46253</v>
      </c>
      <c r="E899" s="105">
        <v>46259</v>
      </c>
      <c r="F899" s="110"/>
      <c r="G899" s="107">
        <v>-200</v>
      </c>
      <c r="H899" s="108">
        <f t="shared" si="197"/>
        <v>7</v>
      </c>
      <c r="I899" s="108">
        <v>85</v>
      </c>
      <c r="J899" s="94">
        <f t="shared" si="198"/>
        <v>-119000</v>
      </c>
      <c r="K899" s="173"/>
    </row>
    <row r="900" spans="1:11" ht="17.25" x14ac:dyDescent="0.25">
      <c r="A900" s="218"/>
      <c r="B900" s="103" t="s">
        <v>148</v>
      </c>
      <c r="C900" s="172" t="s">
        <v>49</v>
      </c>
      <c r="D900" s="109">
        <v>46254</v>
      </c>
      <c r="E900" s="105">
        <v>46259</v>
      </c>
      <c r="F900" s="110"/>
      <c r="G900" s="107">
        <v>-200</v>
      </c>
      <c r="H900" s="108">
        <f t="shared" si="197"/>
        <v>6</v>
      </c>
      <c r="I900" s="108">
        <v>85</v>
      </c>
      <c r="J900" s="94">
        <f t="shared" si="198"/>
        <v>-102000</v>
      </c>
      <c r="K900" s="173"/>
    </row>
    <row r="901" spans="1:11" ht="17.25" x14ac:dyDescent="0.25">
      <c r="A901" s="218"/>
      <c r="B901" s="103" t="s">
        <v>148</v>
      </c>
      <c r="C901" s="176" t="s">
        <v>49</v>
      </c>
      <c r="D901" s="109">
        <v>46259</v>
      </c>
      <c r="E901" s="105">
        <v>46259</v>
      </c>
      <c r="F901" s="110"/>
      <c r="G901" s="107">
        <v>-200</v>
      </c>
      <c r="H901" s="108">
        <f t="shared" ref="H901" si="199">E901-D901+1</f>
        <v>1</v>
      </c>
      <c r="I901" s="108">
        <v>85</v>
      </c>
      <c r="J901" s="94">
        <f t="shared" ref="J901" si="200">+I901*H901*G901</f>
        <v>-17000</v>
      </c>
      <c r="K901" s="177"/>
    </row>
    <row r="902" spans="1:11" ht="16.5" x14ac:dyDescent="0.25">
      <c r="A902" s="218"/>
      <c r="B902" s="215" t="s">
        <v>20</v>
      </c>
      <c r="C902" s="216"/>
      <c r="D902" s="216"/>
      <c r="E902" s="216"/>
      <c r="F902" s="217"/>
      <c r="G902" s="111">
        <f>SUM(G897:G901)</f>
        <v>15188</v>
      </c>
      <c r="H902" s="108"/>
      <c r="I902" s="108"/>
      <c r="J902" s="69">
        <f>+SUBTOTAL(109,J897:J901)</f>
        <v>41771380</v>
      </c>
      <c r="K902" s="173"/>
    </row>
    <row r="903" spans="1:11" ht="17.25" x14ac:dyDescent="0.25">
      <c r="A903" s="212">
        <v>2</v>
      </c>
      <c r="B903" s="103" t="s">
        <v>122</v>
      </c>
      <c r="C903" s="172" t="s">
        <v>49</v>
      </c>
      <c r="D903" s="105">
        <v>46229</v>
      </c>
      <c r="E903" s="105">
        <v>46259</v>
      </c>
      <c r="F903" s="106">
        <f>G903</f>
        <v>25901</v>
      </c>
      <c r="G903" s="107">
        <v>25901</v>
      </c>
      <c r="H903" s="108">
        <f>E903-D903+1</f>
        <v>31</v>
      </c>
      <c r="I903" s="108">
        <v>125</v>
      </c>
      <c r="J903" s="94">
        <f>+I903*H903*G903</f>
        <v>100366375</v>
      </c>
      <c r="K903" s="173"/>
    </row>
    <row r="904" spans="1:11" ht="17.25" x14ac:dyDescent="0.25">
      <c r="A904" s="213"/>
      <c r="B904" s="103" t="s">
        <v>122</v>
      </c>
      <c r="C904" s="172" t="s">
        <v>49</v>
      </c>
      <c r="D904" s="109">
        <v>46237</v>
      </c>
      <c r="E904" s="105">
        <v>46259</v>
      </c>
      <c r="F904" s="110"/>
      <c r="G904" s="107">
        <v>-800</v>
      </c>
      <c r="H904" s="108">
        <f>E904-D904+1</f>
        <v>23</v>
      </c>
      <c r="I904" s="108">
        <v>125</v>
      </c>
      <c r="J904" s="94">
        <f t="shared" ref="J904:J906" si="201">+I904*H904*G904</f>
        <v>-2300000</v>
      </c>
      <c r="K904" s="173"/>
    </row>
    <row r="905" spans="1:11" ht="17.25" x14ac:dyDescent="0.25">
      <c r="A905" s="213"/>
      <c r="B905" s="103" t="s">
        <v>122</v>
      </c>
      <c r="C905" s="172" t="s">
        <v>49</v>
      </c>
      <c r="D905" s="109">
        <v>46253</v>
      </c>
      <c r="E905" s="105">
        <v>46259</v>
      </c>
      <c r="F905" s="110"/>
      <c r="G905" s="107">
        <v>-400</v>
      </c>
      <c r="H905" s="108">
        <f t="shared" ref="H905:H906" si="202">E905-D905+1</f>
        <v>7</v>
      </c>
      <c r="I905" s="108">
        <v>125</v>
      </c>
      <c r="J905" s="94">
        <f t="shared" si="201"/>
        <v>-350000</v>
      </c>
      <c r="K905" s="173"/>
    </row>
    <row r="906" spans="1:11" ht="17.25" x14ac:dyDescent="0.25">
      <c r="A906" s="213"/>
      <c r="B906" s="103" t="s">
        <v>122</v>
      </c>
      <c r="C906" s="172" t="s">
        <v>49</v>
      </c>
      <c r="D906" s="109">
        <v>46254</v>
      </c>
      <c r="E906" s="105">
        <v>46259</v>
      </c>
      <c r="F906" s="110"/>
      <c r="G906" s="107">
        <v>-500</v>
      </c>
      <c r="H906" s="108">
        <f t="shared" si="202"/>
        <v>6</v>
      </c>
      <c r="I906" s="108">
        <v>125</v>
      </c>
      <c r="J906" s="94">
        <f t="shared" si="201"/>
        <v>-375000</v>
      </c>
      <c r="K906" s="173"/>
    </row>
    <row r="907" spans="1:11" ht="17.25" x14ac:dyDescent="0.25">
      <c r="A907" s="213"/>
      <c r="B907" s="103" t="s">
        <v>122</v>
      </c>
      <c r="C907" s="176" t="s">
        <v>49</v>
      </c>
      <c r="D907" s="109">
        <v>46259</v>
      </c>
      <c r="E907" s="105">
        <v>46259</v>
      </c>
      <c r="F907" s="110"/>
      <c r="G907" s="107">
        <v>-300</v>
      </c>
      <c r="H907" s="108">
        <f t="shared" ref="H907" si="203">E907-D907+1</f>
        <v>1</v>
      </c>
      <c r="I907" s="108">
        <v>125</v>
      </c>
      <c r="J907" s="94">
        <f t="shared" ref="J907" si="204">+I907*H907*G907</f>
        <v>-37500</v>
      </c>
      <c r="K907" s="177"/>
    </row>
    <row r="908" spans="1:11" ht="16.5" x14ac:dyDescent="0.25">
      <c r="A908" s="214"/>
      <c r="B908" s="215" t="s">
        <v>20</v>
      </c>
      <c r="C908" s="216"/>
      <c r="D908" s="216"/>
      <c r="E908" s="216"/>
      <c r="F908" s="217"/>
      <c r="G908" s="111">
        <f>SUM(G903:G907)</f>
        <v>23901</v>
      </c>
      <c r="H908" s="108"/>
      <c r="I908" s="108"/>
      <c r="J908" s="69">
        <f>+SUBTOTAL(109,J903:J907)</f>
        <v>97303875</v>
      </c>
      <c r="K908" s="173"/>
    </row>
    <row r="909" spans="1:11" ht="17.25" x14ac:dyDescent="0.25">
      <c r="A909" s="212">
        <v>3</v>
      </c>
      <c r="B909" s="103" t="s">
        <v>118</v>
      </c>
      <c r="C909" s="172" t="s">
        <v>49</v>
      </c>
      <c r="D909" s="105">
        <v>46229</v>
      </c>
      <c r="E909" s="105">
        <v>46259</v>
      </c>
      <c r="F909" s="106">
        <v>7000</v>
      </c>
      <c r="G909" s="107">
        <v>7000</v>
      </c>
      <c r="H909" s="108">
        <f t="shared" ref="H909:H911" si="205">E909-D909+1</f>
        <v>31</v>
      </c>
      <c r="I909" s="108">
        <v>159</v>
      </c>
      <c r="J909" s="94">
        <f>+I909*H909*G909</f>
        <v>34503000</v>
      </c>
      <c r="K909" s="173"/>
    </row>
    <row r="910" spans="1:11" ht="17.25" x14ac:dyDescent="0.25">
      <c r="A910" s="213"/>
      <c r="B910" s="103" t="s">
        <v>118</v>
      </c>
      <c r="C910" s="172" t="s">
        <v>49</v>
      </c>
      <c r="D910" s="109">
        <v>46253</v>
      </c>
      <c r="E910" s="105">
        <v>46259</v>
      </c>
      <c r="F910" s="110"/>
      <c r="G910" s="107">
        <v>-600</v>
      </c>
      <c r="H910" s="108">
        <f t="shared" si="205"/>
        <v>7</v>
      </c>
      <c r="I910" s="108">
        <v>159</v>
      </c>
      <c r="J910" s="94">
        <f t="shared" ref="J910:J911" si="206">+I910*H910*G910</f>
        <v>-667800</v>
      </c>
      <c r="K910" s="173"/>
    </row>
    <row r="911" spans="1:11" ht="17.25" x14ac:dyDescent="0.25">
      <c r="A911" s="213"/>
      <c r="B911" s="103" t="s">
        <v>118</v>
      </c>
      <c r="C911" s="172" t="s">
        <v>49</v>
      </c>
      <c r="D911" s="109">
        <v>46254</v>
      </c>
      <c r="E911" s="105">
        <v>46259</v>
      </c>
      <c r="F911" s="110"/>
      <c r="G911" s="107">
        <v>-300</v>
      </c>
      <c r="H911" s="108">
        <f t="shared" si="205"/>
        <v>6</v>
      </c>
      <c r="I911" s="108">
        <v>159</v>
      </c>
      <c r="J911" s="94">
        <f t="shared" si="206"/>
        <v>-286200</v>
      </c>
      <c r="K911" s="173"/>
    </row>
    <row r="912" spans="1:11" ht="17.25" x14ac:dyDescent="0.25">
      <c r="A912" s="213"/>
      <c r="B912" s="103" t="s">
        <v>118</v>
      </c>
      <c r="C912" s="176" t="s">
        <v>49</v>
      </c>
      <c r="D912" s="109">
        <v>46259</v>
      </c>
      <c r="E912" s="105">
        <v>46259</v>
      </c>
      <c r="F912" s="110"/>
      <c r="G912" s="107">
        <v>-100</v>
      </c>
      <c r="H912" s="108">
        <f t="shared" ref="H912" si="207">E912-D912+1</f>
        <v>1</v>
      </c>
      <c r="I912" s="108">
        <v>159</v>
      </c>
      <c r="J912" s="94">
        <f t="shared" ref="J912" si="208">+I912*H912*G912</f>
        <v>-15900</v>
      </c>
      <c r="K912" s="177"/>
    </row>
    <row r="913" spans="1:11" ht="16.5" x14ac:dyDescent="0.25">
      <c r="A913" s="214"/>
      <c r="B913" s="215" t="s">
        <v>20</v>
      </c>
      <c r="C913" s="216"/>
      <c r="D913" s="216"/>
      <c r="E913" s="216"/>
      <c r="F913" s="217"/>
      <c r="G913" s="111">
        <f>SUM(G909:G912)</f>
        <v>6000</v>
      </c>
      <c r="H913" s="108"/>
      <c r="I913" s="108"/>
      <c r="J913" s="69">
        <f>+SUBTOTAL(109,J909:J912)</f>
        <v>33533100</v>
      </c>
      <c r="K913" s="173"/>
    </row>
    <row r="914" spans="1:11" ht="17.25" x14ac:dyDescent="0.25">
      <c r="A914" s="212">
        <v>4</v>
      </c>
      <c r="B914" s="103" t="s">
        <v>50</v>
      </c>
      <c r="C914" s="172" t="s">
        <v>49</v>
      </c>
      <c r="D914" s="105">
        <v>46229</v>
      </c>
      <c r="E914" s="105">
        <v>46259</v>
      </c>
      <c r="F914" s="106">
        <f>G914</f>
        <v>26754</v>
      </c>
      <c r="G914" s="107">
        <v>26754</v>
      </c>
      <c r="H914" s="108">
        <f>E914-D914+1</f>
        <v>31</v>
      </c>
      <c r="I914" s="108">
        <v>185</v>
      </c>
      <c r="J914" s="94">
        <f>+I914*H914*G914</f>
        <v>153434190</v>
      </c>
      <c r="K914" s="173"/>
    </row>
    <row r="915" spans="1:11" ht="17.25" x14ac:dyDescent="0.25">
      <c r="A915" s="213"/>
      <c r="B915" s="103" t="s">
        <v>50</v>
      </c>
      <c r="C915" s="172" t="s">
        <v>49</v>
      </c>
      <c r="D915" s="109">
        <v>46237</v>
      </c>
      <c r="E915" s="105">
        <v>46259</v>
      </c>
      <c r="F915" s="106"/>
      <c r="G915" s="107">
        <v>-400</v>
      </c>
      <c r="H915" s="108">
        <f t="shared" ref="H915:H917" si="209">E915-D915+1</f>
        <v>23</v>
      </c>
      <c r="I915" s="108">
        <v>185</v>
      </c>
      <c r="J915" s="94">
        <f t="shared" ref="J915:J917" si="210">+I915*H915*G915</f>
        <v>-1702000</v>
      </c>
      <c r="K915" s="173"/>
    </row>
    <row r="916" spans="1:11" ht="17.25" x14ac:dyDescent="0.25">
      <c r="A916" s="213"/>
      <c r="B916" s="103" t="s">
        <v>50</v>
      </c>
      <c r="C916" s="172" t="s">
        <v>49</v>
      </c>
      <c r="D916" s="109">
        <v>46253</v>
      </c>
      <c r="E916" s="105">
        <v>46259</v>
      </c>
      <c r="F916" s="106"/>
      <c r="G916" s="107">
        <v>-700</v>
      </c>
      <c r="H916" s="108">
        <f t="shared" si="209"/>
        <v>7</v>
      </c>
      <c r="I916" s="108">
        <v>185</v>
      </c>
      <c r="J916" s="94">
        <f t="shared" si="210"/>
        <v>-906500</v>
      </c>
      <c r="K916" s="173"/>
    </row>
    <row r="917" spans="1:11" ht="17.25" x14ac:dyDescent="0.25">
      <c r="A917" s="213"/>
      <c r="B917" s="103" t="s">
        <v>50</v>
      </c>
      <c r="C917" s="172" t="s">
        <v>49</v>
      </c>
      <c r="D917" s="109">
        <v>46254</v>
      </c>
      <c r="E917" s="105">
        <v>46259</v>
      </c>
      <c r="F917" s="106"/>
      <c r="G917" s="107">
        <v>-500</v>
      </c>
      <c r="H917" s="108">
        <f t="shared" si="209"/>
        <v>6</v>
      </c>
      <c r="I917" s="108">
        <v>185</v>
      </c>
      <c r="J917" s="94">
        <f t="shared" si="210"/>
        <v>-555000</v>
      </c>
      <c r="K917" s="173"/>
    </row>
    <row r="918" spans="1:11" ht="17.25" x14ac:dyDescent="0.25">
      <c r="A918" s="213"/>
      <c r="B918" s="103" t="s">
        <v>50</v>
      </c>
      <c r="C918" s="176" t="s">
        <v>49</v>
      </c>
      <c r="D918" s="109">
        <v>46259</v>
      </c>
      <c r="E918" s="105">
        <v>46259</v>
      </c>
      <c r="F918" s="106"/>
      <c r="G918" s="107">
        <v>-800</v>
      </c>
      <c r="H918" s="108">
        <f t="shared" ref="H918" si="211">E918-D918+1</f>
        <v>1</v>
      </c>
      <c r="I918" s="108">
        <v>185</v>
      </c>
      <c r="J918" s="94">
        <f t="shared" ref="J918" si="212">+I918*H918*G918</f>
        <v>-148000</v>
      </c>
      <c r="K918" s="177"/>
    </row>
    <row r="919" spans="1:11" ht="16.5" x14ac:dyDescent="0.25">
      <c r="A919" s="214"/>
      <c r="B919" s="210" t="s">
        <v>20</v>
      </c>
      <c r="C919" s="210"/>
      <c r="D919" s="210"/>
      <c r="E919" s="210"/>
      <c r="F919" s="210"/>
      <c r="G919" s="111">
        <f>SUM(G914:G918)</f>
        <v>24354</v>
      </c>
      <c r="H919" s="108"/>
      <c r="I919" s="108"/>
      <c r="J919" s="69">
        <f>+SUBTOTAL(109,J914:J918)</f>
        <v>150122690</v>
      </c>
      <c r="K919" s="173"/>
    </row>
    <row r="920" spans="1:11" ht="17.25" x14ac:dyDescent="0.25">
      <c r="A920" s="212">
        <v>5</v>
      </c>
      <c r="B920" s="103" t="s">
        <v>126</v>
      </c>
      <c r="C920" s="172" t="s">
        <v>24</v>
      </c>
      <c r="D920" s="105">
        <v>46229</v>
      </c>
      <c r="E920" s="105">
        <v>46259</v>
      </c>
      <c r="F920" s="106">
        <f>G920</f>
        <v>27100</v>
      </c>
      <c r="G920" s="107">
        <v>27100</v>
      </c>
      <c r="H920" s="108">
        <f>E920-D920+1</f>
        <v>31</v>
      </c>
      <c r="I920" s="108">
        <v>43</v>
      </c>
      <c r="J920" s="94">
        <f>+I920*H920*G920</f>
        <v>36124300</v>
      </c>
      <c r="K920" s="173"/>
    </row>
    <row r="921" spans="1:11" ht="17.25" x14ac:dyDescent="0.25">
      <c r="A921" s="213"/>
      <c r="B921" s="103" t="s">
        <v>126</v>
      </c>
      <c r="C921" s="172" t="s">
        <v>24</v>
      </c>
      <c r="D921" s="109">
        <v>46237</v>
      </c>
      <c r="E921" s="105">
        <v>46259</v>
      </c>
      <c r="F921" s="106"/>
      <c r="G921" s="107">
        <v>-840</v>
      </c>
      <c r="H921" s="108">
        <f t="shared" ref="H921:H922" si="213">E921-D921+1</f>
        <v>23</v>
      </c>
      <c r="I921" s="108">
        <v>43</v>
      </c>
      <c r="J921" s="94">
        <f t="shared" ref="J921:J922" si="214">+I921*H921*G921</f>
        <v>-830760</v>
      </c>
      <c r="K921" s="173"/>
    </row>
    <row r="922" spans="1:11" ht="17.25" x14ac:dyDescent="0.25">
      <c r="A922" s="213"/>
      <c r="B922" s="103" t="s">
        <v>126</v>
      </c>
      <c r="C922" s="172" t="s">
        <v>24</v>
      </c>
      <c r="D922" s="109">
        <v>46253</v>
      </c>
      <c r="E922" s="105">
        <v>46259</v>
      </c>
      <c r="F922" s="106"/>
      <c r="G922" s="107">
        <v>-630</v>
      </c>
      <c r="H922" s="108">
        <f t="shared" si="213"/>
        <v>7</v>
      </c>
      <c r="I922" s="108">
        <v>43</v>
      </c>
      <c r="J922" s="94">
        <f t="shared" si="214"/>
        <v>-189630</v>
      </c>
      <c r="K922" s="173"/>
    </row>
    <row r="923" spans="1:11" ht="17.25" x14ac:dyDescent="0.25">
      <c r="A923" s="213"/>
      <c r="B923" s="103" t="s">
        <v>126</v>
      </c>
      <c r="C923" s="176" t="s">
        <v>24</v>
      </c>
      <c r="D923" s="109">
        <v>46259</v>
      </c>
      <c r="E923" s="105">
        <v>46259</v>
      </c>
      <c r="F923" s="106"/>
      <c r="G923" s="107">
        <v>-420</v>
      </c>
      <c r="H923" s="108">
        <f t="shared" ref="H923" si="215">E923-D923+1</f>
        <v>1</v>
      </c>
      <c r="I923" s="108">
        <v>43</v>
      </c>
      <c r="J923" s="94">
        <f>+I923*H923*G923</f>
        <v>-18060</v>
      </c>
      <c r="K923" s="177"/>
    </row>
    <row r="924" spans="1:11" ht="16.5" x14ac:dyDescent="0.25">
      <c r="A924" s="214"/>
      <c r="B924" s="215" t="s">
        <v>20</v>
      </c>
      <c r="C924" s="216"/>
      <c r="D924" s="216"/>
      <c r="E924" s="216"/>
      <c r="F924" s="217"/>
      <c r="G924" s="111">
        <f>SUM(G920:G923)</f>
        <v>25210</v>
      </c>
      <c r="H924" s="108"/>
      <c r="I924" s="108"/>
      <c r="J924" s="69">
        <f>+SUBTOTAL(109,J920:J923)</f>
        <v>35085850</v>
      </c>
      <c r="K924" s="173"/>
    </row>
    <row r="925" spans="1:11" ht="17.25" x14ac:dyDescent="0.25">
      <c r="A925" s="212">
        <v>6</v>
      </c>
      <c r="B925" s="103" t="s">
        <v>149</v>
      </c>
      <c r="C925" s="172" t="s">
        <v>24</v>
      </c>
      <c r="D925" s="105">
        <v>46229</v>
      </c>
      <c r="E925" s="105">
        <v>46259</v>
      </c>
      <c r="F925" s="106">
        <f>G925</f>
        <v>20145</v>
      </c>
      <c r="G925" s="107">
        <v>20145</v>
      </c>
      <c r="H925" s="108">
        <f t="shared" ref="H925" si="216">E925-D925+1</f>
        <v>31</v>
      </c>
      <c r="I925" s="108">
        <v>55</v>
      </c>
      <c r="J925" s="94">
        <f>+I925*H925*G925</f>
        <v>34347225</v>
      </c>
      <c r="K925" s="173"/>
    </row>
    <row r="926" spans="1:11" ht="17.25" x14ac:dyDescent="0.25">
      <c r="A926" s="213"/>
      <c r="B926" s="103" t="s">
        <v>149</v>
      </c>
      <c r="C926" s="172" t="s">
        <v>24</v>
      </c>
      <c r="D926" s="109">
        <v>46237</v>
      </c>
      <c r="E926" s="105">
        <v>46259</v>
      </c>
      <c r="F926" s="110"/>
      <c r="G926" s="107">
        <v>-336</v>
      </c>
      <c r="H926" s="108">
        <f>E926-D926+1</f>
        <v>23</v>
      </c>
      <c r="I926" s="108">
        <v>55</v>
      </c>
      <c r="J926" s="94">
        <f>+I926*H926*G926</f>
        <v>-425040</v>
      </c>
      <c r="K926" s="173"/>
    </row>
    <row r="927" spans="1:11" ht="17.25" x14ac:dyDescent="0.25">
      <c r="A927" s="213"/>
      <c r="B927" s="103" t="s">
        <v>149</v>
      </c>
      <c r="C927" s="176" t="s">
        <v>24</v>
      </c>
      <c r="D927" s="109">
        <v>46259</v>
      </c>
      <c r="E927" s="105">
        <v>46259</v>
      </c>
      <c r="F927" s="110"/>
      <c r="G927" s="107">
        <v>-1008</v>
      </c>
      <c r="H927" s="108">
        <f>E927-D927+1</f>
        <v>1</v>
      </c>
      <c r="I927" s="108">
        <v>55</v>
      </c>
      <c r="J927" s="94">
        <f>+I927*H927*G927</f>
        <v>-55440</v>
      </c>
      <c r="K927" s="177"/>
    </row>
    <row r="928" spans="1:11" ht="16.5" x14ac:dyDescent="0.25">
      <c r="A928" s="214"/>
      <c r="B928" s="215" t="s">
        <v>20</v>
      </c>
      <c r="C928" s="216"/>
      <c r="D928" s="216"/>
      <c r="E928" s="216"/>
      <c r="F928" s="217"/>
      <c r="G928" s="111">
        <f>SUM(G925:G927)</f>
        <v>18801</v>
      </c>
      <c r="H928" s="108"/>
      <c r="I928" s="108"/>
      <c r="J928" s="69">
        <f>+SUBTOTAL(109,J925:J927)</f>
        <v>33866745</v>
      </c>
      <c r="K928" s="173"/>
    </row>
    <row r="929" spans="1:11" ht="17.25" x14ac:dyDescent="0.25">
      <c r="A929" s="212">
        <v>7</v>
      </c>
      <c r="B929" s="103" t="s">
        <v>0</v>
      </c>
      <c r="C929" s="172" t="s">
        <v>24</v>
      </c>
      <c r="D929" s="105">
        <v>46229</v>
      </c>
      <c r="E929" s="105">
        <v>46259</v>
      </c>
      <c r="F929" s="106">
        <f>G929</f>
        <v>140289</v>
      </c>
      <c r="G929" s="107">
        <v>140289</v>
      </c>
      <c r="H929" s="108">
        <f>E929-D929+1</f>
        <v>31</v>
      </c>
      <c r="I929" s="108">
        <v>71</v>
      </c>
      <c r="J929" s="94">
        <f t="shared" ref="J929:J932" si="217">+I929*H929*G929</f>
        <v>308776089</v>
      </c>
      <c r="K929" s="173"/>
    </row>
    <row r="930" spans="1:11" ht="17.25" x14ac:dyDescent="0.25">
      <c r="A930" s="213"/>
      <c r="B930" s="103" t="s">
        <v>0</v>
      </c>
      <c r="C930" s="172" t="s">
        <v>24</v>
      </c>
      <c r="D930" s="109">
        <v>46237</v>
      </c>
      <c r="E930" s="105">
        <v>46259</v>
      </c>
      <c r="F930" s="110"/>
      <c r="G930" s="107">
        <v>-2310</v>
      </c>
      <c r="H930" s="108">
        <f t="shared" ref="H930:H932" si="218">E930-D930+1</f>
        <v>23</v>
      </c>
      <c r="I930" s="108">
        <v>71</v>
      </c>
      <c r="J930" s="94">
        <f t="shared" si="217"/>
        <v>-3772230</v>
      </c>
      <c r="K930" s="173"/>
    </row>
    <row r="931" spans="1:11" ht="17.25" x14ac:dyDescent="0.25">
      <c r="A931" s="213"/>
      <c r="B931" s="103" t="s">
        <v>0</v>
      </c>
      <c r="C931" s="172" t="s">
        <v>24</v>
      </c>
      <c r="D931" s="109">
        <v>46253</v>
      </c>
      <c r="E931" s="105">
        <v>46259</v>
      </c>
      <c r="F931" s="110"/>
      <c r="G931" s="107">
        <v>-3696</v>
      </c>
      <c r="H931" s="108">
        <f t="shared" si="218"/>
        <v>7</v>
      </c>
      <c r="I931" s="108">
        <v>71</v>
      </c>
      <c r="J931" s="94">
        <f t="shared" si="217"/>
        <v>-1836912</v>
      </c>
      <c r="K931" s="173"/>
    </row>
    <row r="932" spans="1:11" ht="17.25" x14ac:dyDescent="0.25">
      <c r="A932" s="213"/>
      <c r="B932" s="103" t="s">
        <v>0</v>
      </c>
      <c r="C932" s="172" t="s">
        <v>24</v>
      </c>
      <c r="D932" s="109">
        <v>46254</v>
      </c>
      <c r="E932" s="105">
        <v>46259</v>
      </c>
      <c r="F932" s="110"/>
      <c r="G932" s="107">
        <v>-6468</v>
      </c>
      <c r="H932" s="108">
        <f t="shared" si="218"/>
        <v>6</v>
      </c>
      <c r="I932" s="108">
        <v>71</v>
      </c>
      <c r="J932" s="94">
        <f t="shared" si="217"/>
        <v>-2755368</v>
      </c>
      <c r="K932" s="173"/>
    </row>
    <row r="933" spans="1:11" ht="17.25" x14ac:dyDescent="0.25">
      <c r="A933" s="213"/>
      <c r="B933" s="103" t="s">
        <v>0</v>
      </c>
      <c r="C933" s="176" t="s">
        <v>24</v>
      </c>
      <c r="D933" s="109">
        <v>46259</v>
      </c>
      <c r="E933" s="105">
        <v>46259</v>
      </c>
      <c r="F933" s="110"/>
      <c r="G933" s="107">
        <v>-4620</v>
      </c>
      <c r="H933" s="108">
        <f t="shared" ref="H933" si="219">E933-D933+1</f>
        <v>1</v>
      </c>
      <c r="I933" s="108">
        <v>71</v>
      </c>
      <c r="J933" s="94">
        <f t="shared" ref="J933" si="220">+I933*H933*G933</f>
        <v>-328020</v>
      </c>
      <c r="K933" s="177"/>
    </row>
    <row r="934" spans="1:11" ht="16.5" x14ac:dyDescent="0.25">
      <c r="A934" s="214"/>
      <c r="B934" s="215" t="s">
        <v>20</v>
      </c>
      <c r="C934" s="216"/>
      <c r="D934" s="216"/>
      <c r="E934" s="216"/>
      <c r="F934" s="217"/>
      <c r="G934" s="111">
        <f>SUM(G929:G933)</f>
        <v>123195</v>
      </c>
      <c r="H934" s="108"/>
      <c r="I934" s="108"/>
      <c r="J934" s="69">
        <f>+SUBTOTAL(109,J929:J933)</f>
        <v>300083559</v>
      </c>
      <c r="K934" s="173"/>
    </row>
    <row r="935" spans="1:11" ht="16.5" x14ac:dyDescent="0.25">
      <c r="A935" s="212">
        <v>8</v>
      </c>
      <c r="B935" s="103" t="s">
        <v>150</v>
      </c>
      <c r="C935" s="172" t="s">
        <v>24</v>
      </c>
      <c r="D935" s="105">
        <v>46229</v>
      </c>
      <c r="E935" s="105">
        <v>46259</v>
      </c>
      <c r="F935" s="111">
        <f>G935</f>
        <v>27681</v>
      </c>
      <c r="G935" s="112">
        <v>27681</v>
      </c>
      <c r="H935" s="108">
        <f t="shared" ref="H935:H937" si="221">E935-D935+1</f>
        <v>31</v>
      </c>
      <c r="I935" s="113">
        <v>70</v>
      </c>
      <c r="J935" s="94">
        <f>+I935*H935*G935</f>
        <v>60067770</v>
      </c>
      <c r="K935" s="173"/>
    </row>
    <row r="936" spans="1:11" ht="16.5" x14ac:dyDescent="0.25">
      <c r="A936" s="213"/>
      <c r="B936" s="103" t="s">
        <v>150</v>
      </c>
      <c r="C936" s="172" t="s">
        <v>24</v>
      </c>
      <c r="D936" s="109">
        <v>46237</v>
      </c>
      <c r="E936" s="105">
        <v>46259</v>
      </c>
      <c r="F936" s="111"/>
      <c r="G936" s="112">
        <v>-960</v>
      </c>
      <c r="H936" s="108">
        <f t="shared" si="221"/>
        <v>23</v>
      </c>
      <c r="I936" s="113">
        <v>70</v>
      </c>
      <c r="J936" s="94">
        <f t="shared" ref="J936:J937" si="222">+I936*H936*G936</f>
        <v>-1545600</v>
      </c>
      <c r="K936" s="173"/>
    </row>
    <row r="937" spans="1:11" ht="16.5" x14ac:dyDescent="0.25">
      <c r="A937" s="213"/>
      <c r="B937" s="103" t="s">
        <v>150</v>
      </c>
      <c r="C937" s="172" t="s">
        <v>24</v>
      </c>
      <c r="D937" s="109">
        <v>46254</v>
      </c>
      <c r="E937" s="105">
        <v>46259</v>
      </c>
      <c r="F937" s="111"/>
      <c r="G937" s="112">
        <v>-480</v>
      </c>
      <c r="H937" s="108">
        <f t="shared" si="221"/>
        <v>6</v>
      </c>
      <c r="I937" s="113">
        <v>70</v>
      </c>
      <c r="J937" s="94">
        <f t="shared" si="222"/>
        <v>-201600</v>
      </c>
      <c r="K937" s="173"/>
    </row>
    <row r="938" spans="1:11" ht="16.5" x14ac:dyDescent="0.25">
      <c r="A938" s="213"/>
      <c r="B938" s="103" t="s">
        <v>150</v>
      </c>
      <c r="C938" s="176" t="s">
        <v>24</v>
      </c>
      <c r="D938" s="109">
        <v>46259</v>
      </c>
      <c r="E938" s="105">
        <v>46259</v>
      </c>
      <c r="F938" s="111"/>
      <c r="G938" s="112">
        <v>-460</v>
      </c>
      <c r="H938" s="108">
        <f t="shared" ref="H938" si="223">E938-D938+1</f>
        <v>1</v>
      </c>
      <c r="I938" s="113">
        <v>70</v>
      </c>
      <c r="J938" s="94">
        <f t="shared" ref="J938" si="224">+I938*H938*G938</f>
        <v>-32200</v>
      </c>
      <c r="K938" s="177"/>
    </row>
    <row r="939" spans="1:11" ht="16.5" x14ac:dyDescent="0.25">
      <c r="A939" s="214"/>
      <c r="B939" s="215" t="s">
        <v>20</v>
      </c>
      <c r="C939" s="216"/>
      <c r="D939" s="216"/>
      <c r="E939" s="216"/>
      <c r="F939" s="217"/>
      <c r="G939" s="111">
        <f>SUM(G935:G938)</f>
        <v>25781</v>
      </c>
      <c r="H939" s="108"/>
      <c r="I939" s="108"/>
      <c r="J939" s="69">
        <f>+SUBTOTAL(109,J935:J938)</f>
        <v>58288370</v>
      </c>
      <c r="K939" s="173"/>
    </row>
    <row r="940" spans="1:11" ht="17.25" x14ac:dyDescent="0.25">
      <c r="A940" s="212">
        <v>9</v>
      </c>
      <c r="B940" s="103" t="s">
        <v>151</v>
      </c>
      <c r="C940" s="172" t="s">
        <v>24</v>
      </c>
      <c r="D940" s="105">
        <v>46229</v>
      </c>
      <c r="E940" s="105">
        <v>46259</v>
      </c>
      <c r="F940" s="106">
        <f>G940</f>
        <v>25443</v>
      </c>
      <c r="G940" s="107">
        <v>25443</v>
      </c>
      <c r="H940" s="108">
        <f t="shared" ref="H940:H941" si="225">E940-D940+1</f>
        <v>31</v>
      </c>
      <c r="I940" s="108">
        <v>70</v>
      </c>
      <c r="J940" s="94">
        <f>+I940*H940*G940</f>
        <v>55211310</v>
      </c>
      <c r="K940" s="173"/>
    </row>
    <row r="941" spans="1:11" ht="17.25" x14ac:dyDescent="0.25">
      <c r="A941" s="213"/>
      <c r="B941" s="103" t="s">
        <v>151</v>
      </c>
      <c r="C941" s="172" t="s">
        <v>24</v>
      </c>
      <c r="D941" s="109">
        <v>46237</v>
      </c>
      <c r="E941" s="105">
        <v>46259</v>
      </c>
      <c r="F941" s="106"/>
      <c r="G941" s="107">
        <v>-420</v>
      </c>
      <c r="H941" s="108">
        <f t="shared" si="225"/>
        <v>23</v>
      </c>
      <c r="I941" s="108">
        <v>70</v>
      </c>
      <c r="J941" s="94">
        <f t="shared" ref="J941" si="226">+I941*H941*G941</f>
        <v>-676200</v>
      </c>
      <c r="K941" s="173"/>
    </row>
    <row r="942" spans="1:11" ht="17.25" x14ac:dyDescent="0.25">
      <c r="A942" s="213"/>
      <c r="B942" s="103" t="s">
        <v>151</v>
      </c>
      <c r="C942" s="176" t="s">
        <v>24</v>
      </c>
      <c r="D942" s="109">
        <v>46259</v>
      </c>
      <c r="E942" s="105">
        <v>46259</v>
      </c>
      <c r="F942" s="106"/>
      <c r="G942" s="107">
        <v>-690</v>
      </c>
      <c r="H942" s="108">
        <f t="shared" ref="H942" si="227">E942-D942+1</f>
        <v>1</v>
      </c>
      <c r="I942" s="108">
        <v>70</v>
      </c>
      <c r="J942" s="94">
        <f t="shared" ref="J942" si="228">+I942*H942*G942</f>
        <v>-48300</v>
      </c>
      <c r="K942" s="177"/>
    </row>
    <row r="943" spans="1:11" ht="16.5" x14ac:dyDescent="0.25">
      <c r="A943" s="214"/>
      <c r="B943" s="215" t="s">
        <v>20</v>
      </c>
      <c r="C943" s="216"/>
      <c r="D943" s="216"/>
      <c r="E943" s="216"/>
      <c r="F943" s="217"/>
      <c r="G943" s="111">
        <f>SUM(G940:G942)</f>
        <v>24333</v>
      </c>
      <c r="H943" s="108"/>
      <c r="I943" s="108"/>
      <c r="J943" s="69">
        <f>+SUBTOTAL(109,J940:J942)</f>
        <v>54486810</v>
      </c>
      <c r="K943" s="173"/>
    </row>
    <row r="944" spans="1:11" ht="16.5" x14ac:dyDescent="0.25">
      <c r="A944" s="170" t="str">
        <f>ROMAN(2,0)</f>
        <v>II</v>
      </c>
      <c r="B944" s="116" t="s">
        <v>56</v>
      </c>
      <c r="C944" s="170"/>
      <c r="D944" s="170"/>
      <c r="E944" s="170"/>
      <c r="F944" s="170"/>
      <c r="G944" s="111"/>
      <c r="H944" s="114"/>
      <c r="I944" s="114"/>
      <c r="J944" s="87"/>
      <c r="K944" s="97"/>
    </row>
    <row r="945" spans="1:11" ht="16.5" x14ac:dyDescent="0.25">
      <c r="A945" s="172">
        <v>1</v>
      </c>
      <c r="B945" s="19" t="s">
        <v>58</v>
      </c>
      <c r="C945" s="172" t="s">
        <v>57</v>
      </c>
      <c r="D945" s="172"/>
      <c r="E945" s="170"/>
      <c r="F945" s="117">
        <v>68</v>
      </c>
      <c r="G945" s="117">
        <v>4</v>
      </c>
      <c r="H945" s="108"/>
      <c r="I945" s="118">
        <v>5000000</v>
      </c>
      <c r="J945" s="136">
        <f>G945*I945</f>
        <v>20000000</v>
      </c>
      <c r="K945" s="151"/>
    </row>
    <row r="946" spans="1:11" ht="16.5" x14ac:dyDescent="0.25">
      <c r="A946" s="172">
        <v>2</v>
      </c>
      <c r="B946" s="19" t="s">
        <v>73</v>
      </c>
      <c r="C946" s="172" t="s">
        <v>57</v>
      </c>
      <c r="D946" s="172"/>
      <c r="E946" s="170"/>
      <c r="F946" s="117">
        <v>1</v>
      </c>
      <c r="G946" s="117"/>
      <c r="H946" s="114"/>
      <c r="I946" s="118">
        <v>4500000</v>
      </c>
      <c r="J946" s="87"/>
      <c r="K946" s="97"/>
    </row>
    <row r="947" spans="1:11" ht="16.5" x14ac:dyDescent="0.25">
      <c r="A947" s="210" t="s">
        <v>314</v>
      </c>
      <c r="B947" s="210"/>
      <c r="C947" s="210"/>
      <c r="D947" s="210"/>
      <c r="E947" s="210"/>
      <c r="F947" s="210"/>
      <c r="G947" s="210"/>
      <c r="H947" s="210"/>
      <c r="I947" s="210"/>
      <c r="J947" s="69">
        <f>SUBTOTAL(9,J897:J946)</f>
        <v>824542379</v>
      </c>
      <c r="K947" s="98"/>
    </row>
    <row r="948" spans="1:11" ht="16.5" x14ac:dyDescent="0.25">
      <c r="A948" s="211" t="s">
        <v>54</v>
      </c>
      <c r="B948" s="211"/>
      <c r="C948" s="211"/>
      <c r="D948" s="211"/>
      <c r="E948" s="211"/>
      <c r="F948" s="211"/>
      <c r="G948" s="211"/>
      <c r="H948" s="211"/>
      <c r="I948" s="211"/>
      <c r="J948" s="89">
        <f>ROUND(J947*8%,0)</f>
        <v>65963390</v>
      </c>
      <c r="K948" s="171"/>
    </row>
    <row r="949" spans="1:11" ht="16.5" x14ac:dyDescent="0.25">
      <c r="A949" s="211" t="s">
        <v>27</v>
      </c>
      <c r="B949" s="211"/>
      <c r="C949" s="211"/>
      <c r="D949" s="211"/>
      <c r="E949" s="211"/>
      <c r="F949" s="211"/>
      <c r="G949" s="211"/>
      <c r="H949" s="211"/>
      <c r="I949" s="211"/>
      <c r="J949" s="69">
        <f>+J947+J948</f>
        <v>890505769</v>
      </c>
      <c r="K949" s="171"/>
    </row>
    <row r="950" spans="1:11" ht="16.5" x14ac:dyDescent="0.25">
      <c r="A950" s="99" t="s">
        <v>123</v>
      </c>
      <c r="B950" s="100" t="s">
        <v>319</v>
      </c>
      <c r="C950" s="174"/>
      <c r="D950" s="174"/>
      <c r="E950" s="174"/>
      <c r="F950" s="174"/>
      <c r="G950" s="174"/>
      <c r="H950" s="174"/>
      <c r="I950" s="174"/>
      <c r="J950" s="90"/>
      <c r="K950" s="174"/>
    </row>
    <row r="951" spans="1:11" ht="16.5" x14ac:dyDescent="0.25">
      <c r="A951" s="5" t="s">
        <v>60</v>
      </c>
      <c r="B951" s="5"/>
      <c r="C951" s="30"/>
      <c r="D951" s="30"/>
      <c r="E951" s="30"/>
      <c r="F951" s="5"/>
      <c r="G951" s="5"/>
      <c r="H951" s="5"/>
      <c r="I951" s="5"/>
      <c r="J951" s="5"/>
      <c r="K951" s="102"/>
    </row>
    <row r="952" spans="1:11" ht="15.75" x14ac:dyDescent="0.25">
      <c r="A952" s="197" t="s">
        <v>21</v>
      </c>
      <c r="B952" s="197"/>
      <c r="C952" s="197"/>
      <c r="D952" s="197"/>
      <c r="E952" s="197" t="s">
        <v>22</v>
      </c>
      <c r="F952" s="197"/>
      <c r="G952" s="197"/>
      <c r="H952" s="197"/>
      <c r="I952" s="197"/>
      <c r="J952" s="197"/>
      <c r="K952" s="197"/>
    </row>
  </sheetData>
  <autoFilter ref="A331:L393"/>
  <mergeCells count="310">
    <mergeCell ref="A736:I736"/>
    <mergeCell ref="A737:I737"/>
    <mergeCell ref="A738:I738"/>
    <mergeCell ref="A741:D741"/>
    <mergeCell ref="E741:K741"/>
    <mergeCell ref="A706:A708"/>
    <mergeCell ref="B708:F708"/>
    <mergeCell ref="A709:A721"/>
    <mergeCell ref="B721:F721"/>
    <mergeCell ref="A722:A725"/>
    <mergeCell ref="B725:F725"/>
    <mergeCell ref="A726:A730"/>
    <mergeCell ref="B730:F730"/>
    <mergeCell ref="A731:A732"/>
    <mergeCell ref="B732:F732"/>
    <mergeCell ref="A662:A670"/>
    <mergeCell ref="B670:F670"/>
    <mergeCell ref="A671:A680"/>
    <mergeCell ref="B680:F680"/>
    <mergeCell ref="A681:A688"/>
    <mergeCell ref="B688:F688"/>
    <mergeCell ref="A689:A700"/>
    <mergeCell ref="B700:F700"/>
    <mergeCell ref="A701:A705"/>
    <mergeCell ref="B705:F705"/>
    <mergeCell ref="A633:K633"/>
    <mergeCell ref="A634:K634"/>
    <mergeCell ref="A636:K636"/>
    <mergeCell ref="A637:K637"/>
    <mergeCell ref="A639:K639"/>
    <mergeCell ref="C646:D646"/>
    <mergeCell ref="C647:D647"/>
    <mergeCell ref="C648:D648"/>
    <mergeCell ref="E654:K654"/>
    <mergeCell ref="J621:K622"/>
    <mergeCell ref="A623:I623"/>
    <mergeCell ref="A624:I624"/>
    <mergeCell ref="A625:I625"/>
    <mergeCell ref="A628:D628"/>
    <mergeCell ref="E628:K628"/>
    <mergeCell ref="A600:A602"/>
    <mergeCell ref="B602:F602"/>
    <mergeCell ref="A603:A613"/>
    <mergeCell ref="B613:F613"/>
    <mergeCell ref="A614:A615"/>
    <mergeCell ref="B615:F615"/>
    <mergeCell ref="A616:A617"/>
    <mergeCell ref="B617:F617"/>
    <mergeCell ref="A618:A619"/>
    <mergeCell ref="B619:F619"/>
    <mergeCell ref="A559:A564"/>
    <mergeCell ref="B564:F564"/>
    <mergeCell ref="A565:A575"/>
    <mergeCell ref="B575:F575"/>
    <mergeCell ref="A576:A583"/>
    <mergeCell ref="B583:F583"/>
    <mergeCell ref="A584:A597"/>
    <mergeCell ref="B597:F597"/>
    <mergeCell ref="A598:A599"/>
    <mergeCell ref="B599:F599"/>
    <mergeCell ref="A530:K530"/>
    <mergeCell ref="A531:K531"/>
    <mergeCell ref="A533:K533"/>
    <mergeCell ref="A534:K534"/>
    <mergeCell ref="A536:K536"/>
    <mergeCell ref="C543:D543"/>
    <mergeCell ref="C544:D544"/>
    <mergeCell ref="C545:D545"/>
    <mergeCell ref="E551:K551"/>
    <mergeCell ref="A294:I294"/>
    <mergeCell ref="A295:I295"/>
    <mergeCell ref="A296:I296"/>
    <mergeCell ref="A299:D299"/>
    <mergeCell ref="E299:K299"/>
    <mergeCell ref="A389:I389"/>
    <mergeCell ref="A215:A223"/>
    <mergeCell ref="B223:F223"/>
    <mergeCell ref="A224:A259"/>
    <mergeCell ref="B259:F259"/>
    <mergeCell ref="A260:A274"/>
    <mergeCell ref="B274:F274"/>
    <mergeCell ref="A275:A288"/>
    <mergeCell ref="B288:F288"/>
    <mergeCell ref="K292:K293"/>
    <mergeCell ref="A289:A290"/>
    <mergeCell ref="B290:F290"/>
    <mergeCell ref="C317:D317"/>
    <mergeCell ref="C318:D318"/>
    <mergeCell ref="C319:D319"/>
    <mergeCell ref="E325:K325"/>
    <mergeCell ref="A333:A334"/>
    <mergeCell ref="B334:F334"/>
    <mergeCell ref="A304:K304"/>
    <mergeCell ref="A141:A156"/>
    <mergeCell ref="B156:F156"/>
    <mergeCell ref="A157:A177"/>
    <mergeCell ref="B177:F177"/>
    <mergeCell ref="A178:A179"/>
    <mergeCell ref="B179:F179"/>
    <mergeCell ref="A180:A205"/>
    <mergeCell ref="B205:F205"/>
    <mergeCell ref="A206:A214"/>
    <mergeCell ref="B214:F214"/>
    <mergeCell ref="A112:K112"/>
    <mergeCell ref="A113:K113"/>
    <mergeCell ref="A115:K115"/>
    <mergeCell ref="A116:K116"/>
    <mergeCell ref="A118:K118"/>
    <mergeCell ref="C125:D125"/>
    <mergeCell ref="C126:D126"/>
    <mergeCell ref="C127:D127"/>
    <mergeCell ref="E133:K133"/>
    <mergeCell ref="B83:F83"/>
    <mergeCell ref="A60:A66"/>
    <mergeCell ref="A67:A83"/>
    <mergeCell ref="A103:I103"/>
    <mergeCell ref="A104:I104"/>
    <mergeCell ref="A105:I105"/>
    <mergeCell ref="A108:D108"/>
    <mergeCell ref="E108:K108"/>
    <mergeCell ref="K101:K102"/>
    <mergeCell ref="E22:K22"/>
    <mergeCell ref="C14:D14"/>
    <mergeCell ref="C15:D15"/>
    <mergeCell ref="C16:D16"/>
    <mergeCell ref="B66:F66"/>
    <mergeCell ref="B91:F91"/>
    <mergeCell ref="B99:F99"/>
    <mergeCell ref="A1:K1"/>
    <mergeCell ref="A2:K2"/>
    <mergeCell ref="A4:K4"/>
    <mergeCell ref="A5:K5"/>
    <mergeCell ref="A7:K7"/>
    <mergeCell ref="A84:A91"/>
    <mergeCell ref="A92:A99"/>
    <mergeCell ref="A30:A33"/>
    <mergeCell ref="B33:F33"/>
    <mergeCell ref="A34:A37"/>
    <mergeCell ref="B37:F37"/>
    <mergeCell ref="A41:A52"/>
    <mergeCell ref="B52:F52"/>
    <mergeCell ref="A38:A40"/>
    <mergeCell ref="B40:F40"/>
    <mergeCell ref="A53:A59"/>
    <mergeCell ref="B59:F59"/>
    <mergeCell ref="A305:K305"/>
    <mergeCell ref="A307:K307"/>
    <mergeCell ref="A308:K308"/>
    <mergeCell ref="A310:K310"/>
    <mergeCell ref="A355:A358"/>
    <mergeCell ref="B358:F358"/>
    <mergeCell ref="A359:A363"/>
    <mergeCell ref="B363:F363"/>
    <mergeCell ref="A364:A372"/>
    <mergeCell ref="B372:F372"/>
    <mergeCell ref="A335:A343"/>
    <mergeCell ref="B343:F343"/>
    <mergeCell ref="A344:A349"/>
    <mergeCell ref="B349:F349"/>
    <mergeCell ref="A350:A354"/>
    <mergeCell ref="B354:F354"/>
    <mergeCell ref="K385:K386"/>
    <mergeCell ref="A387:I387"/>
    <mergeCell ref="A388:I388"/>
    <mergeCell ref="A390:I390"/>
    <mergeCell ref="A393:D393"/>
    <mergeCell ref="E393:K393"/>
    <mergeCell ref="A373:A375"/>
    <mergeCell ref="B375:F375"/>
    <mergeCell ref="A376:A381"/>
    <mergeCell ref="B381:F381"/>
    <mergeCell ref="A382:A383"/>
    <mergeCell ref="B383:F383"/>
    <mergeCell ref="K333:K383"/>
    <mergeCell ref="A453:A454"/>
    <mergeCell ref="B454:F454"/>
    <mergeCell ref="A399:K399"/>
    <mergeCell ref="A400:K400"/>
    <mergeCell ref="A402:K402"/>
    <mergeCell ref="A403:K403"/>
    <mergeCell ref="A405:K405"/>
    <mergeCell ref="C412:D412"/>
    <mergeCell ref="C413:D413"/>
    <mergeCell ref="C414:D414"/>
    <mergeCell ref="E420:K420"/>
    <mergeCell ref="A458:I458"/>
    <mergeCell ref="A459:I459"/>
    <mergeCell ref="A460:I460"/>
    <mergeCell ref="A463:D463"/>
    <mergeCell ref="E463:K463"/>
    <mergeCell ref="J456:K457"/>
    <mergeCell ref="A428:A429"/>
    <mergeCell ref="B429:F429"/>
    <mergeCell ref="A430:A433"/>
    <mergeCell ref="B433:F433"/>
    <mergeCell ref="A434:A439"/>
    <mergeCell ref="B439:F439"/>
    <mergeCell ref="A440:A441"/>
    <mergeCell ref="B441:F441"/>
    <mergeCell ref="A442:A443"/>
    <mergeCell ref="B443:F443"/>
    <mergeCell ref="A444:A445"/>
    <mergeCell ref="B445:F445"/>
    <mergeCell ref="A446:A448"/>
    <mergeCell ref="B448:F448"/>
    <mergeCell ref="A449:A450"/>
    <mergeCell ref="B450:F450"/>
    <mergeCell ref="A451:A452"/>
    <mergeCell ref="B452:F452"/>
    <mergeCell ref="A468:K468"/>
    <mergeCell ref="A469:K469"/>
    <mergeCell ref="A471:K471"/>
    <mergeCell ref="A472:K472"/>
    <mergeCell ref="A474:K474"/>
    <mergeCell ref="C481:D481"/>
    <mergeCell ref="C482:D482"/>
    <mergeCell ref="C483:D483"/>
    <mergeCell ref="E489:K489"/>
    <mergeCell ref="A497:A498"/>
    <mergeCell ref="B498:F498"/>
    <mergeCell ref="A499:A500"/>
    <mergeCell ref="B500:F500"/>
    <mergeCell ref="A501:A502"/>
    <mergeCell ref="B502:F502"/>
    <mergeCell ref="A503:A504"/>
    <mergeCell ref="B504:F504"/>
    <mergeCell ref="A505:A506"/>
    <mergeCell ref="B506:F506"/>
    <mergeCell ref="J518:K519"/>
    <mergeCell ref="A520:I520"/>
    <mergeCell ref="A521:I521"/>
    <mergeCell ref="A522:I522"/>
    <mergeCell ref="A525:D525"/>
    <mergeCell ref="E525:K525"/>
    <mergeCell ref="A507:A508"/>
    <mergeCell ref="B508:F508"/>
    <mergeCell ref="A509:A510"/>
    <mergeCell ref="B510:F510"/>
    <mergeCell ref="A511:A512"/>
    <mergeCell ref="B512:F512"/>
    <mergeCell ref="A513:A514"/>
    <mergeCell ref="B514:F514"/>
    <mergeCell ref="A515:A516"/>
    <mergeCell ref="B516:F516"/>
    <mergeCell ref="A746:K746"/>
    <mergeCell ref="A747:K747"/>
    <mergeCell ref="A749:K749"/>
    <mergeCell ref="A750:K750"/>
    <mergeCell ref="A752:K752"/>
    <mergeCell ref="C759:D759"/>
    <mergeCell ref="C760:D760"/>
    <mergeCell ref="C761:D761"/>
    <mergeCell ref="E767:K767"/>
    <mergeCell ref="A775:A783"/>
    <mergeCell ref="B783:F783"/>
    <mergeCell ref="A784:A793"/>
    <mergeCell ref="B793:F793"/>
    <mergeCell ref="A794:A801"/>
    <mergeCell ref="B801:F801"/>
    <mergeCell ref="A802:A813"/>
    <mergeCell ref="B813:F813"/>
    <mergeCell ref="A814:A820"/>
    <mergeCell ref="B820:F820"/>
    <mergeCell ref="A859:I859"/>
    <mergeCell ref="A860:I860"/>
    <mergeCell ref="A861:I861"/>
    <mergeCell ref="A864:D864"/>
    <mergeCell ref="E864:K864"/>
    <mergeCell ref="A821:A827"/>
    <mergeCell ref="B827:F827"/>
    <mergeCell ref="A828:A840"/>
    <mergeCell ref="B840:F840"/>
    <mergeCell ref="A841:A846"/>
    <mergeCell ref="B846:F846"/>
    <mergeCell ref="A847:A852"/>
    <mergeCell ref="B852:F852"/>
    <mergeCell ref="A853:A855"/>
    <mergeCell ref="B855:F855"/>
    <mergeCell ref="A868:K868"/>
    <mergeCell ref="A869:K869"/>
    <mergeCell ref="A871:K871"/>
    <mergeCell ref="A872:K872"/>
    <mergeCell ref="A874:K874"/>
    <mergeCell ref="C881:D881"/>
    <mergeCell ref="C882:D882"/>
    <mergeCell ref="C883:D883"/>
    <mergeCell ref="E889:K889"/>
    <mergeCell ref="A897:A902"/>
    <mergeCell ref="B902:F902"/>
    <mergeCell ref="A903:A908"/>
    <mergeCell ref="B908:F908"/>
    <mergeCell ref="A909:A913"/>
    <mergeCell ref="B913:F913"/>
    <mergeCell ref="A914:A919"/>
    <mergeCell ref="B919:F919"/>
    <mergeCell ref="A920:A924"/>
    <mergeCell ref="B924:F924"/>
    <mergeCell ref="A947:I947"/>
    <mergeCell ref="A948:I948"/>
    <mergeCell ref="A949:I949"/>
    <mergeCell ref="A952:D952"/>
    <mergeCell ref="E952:K952"/>
    <mergeCell ref="A925:A928"/>
    <mergeCell ref="B928:F928"/>
    <mergeCell ref="A929:A934"/>
    <mergeCell ref="B934:F934"/>
    <mergeCell ref="A935:A939"/>
    <mergeCell ref="B939:F939"/>
    <mergeCell ref="A940:A943"/>
    <mergeCell ref="B943:F943"/>
  </mergeCells>
  <pageMargins left="0.27559055118110237" right="0.19685039370078741" top="0.23622047244094491" bottom="0.39370078740157483" header="0.15748031496062992" footer="0.31496062992125984"/>
  <pageSetup paperSize="9" scale="5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21"/>
  <sheetViews>
    <sheetView tabSelected="1" view="pageBreakPreview" topLeftCell="A892" zoomScale="85" zoomScaleNormal="85" zoomScaleSheetLayoutView="85" workbookViewId="0">
      <selection activeCell="D912" sqref="D912:D914"/>
    </sheetView>
  </sheetViews>
  <sheetFormatPr defaultColWidth="9.140625" defaultRowHeight="16.5" x14ac:dyDescent="0.25"/>
  <cols>
    <col min="1" max="1" width="11.5703125" style="5" customWidth="1"/>
    <col min="2" max="2" width="44.7109375" style="5" customWidth="1"/>
    <col min="3" max="3" width="9.140625" style="5" customWidth="1"/>
    <col min="4" max="4" width="20.140625" style="5" customWidth="1"/>
    <col min="5" max="5" width="16.28515625" style="5" customWidth="1"/>
    <col min="6" max="6" width="14" style="5" customWidth="1"/>
    <col min="7" max="7" width="17.140625" style="5" customWidth="1"/>
    <col min="8" max="8" width="18" style="5" customWidth="1"/>
    <col min="9" max="9" width="27.5703125" style="5" customWidth="1"/>
    <col min="10" max="10" width="11.5703125" style="1" customWidth="1"/>
    <col min="11" max="11" width="9.140625" style="1"/>
    <col min="12" max="12" width="11.42578125" style="1" bestFit="1" customWidth="1"/>
    <col min="13" max="16384" width="9.140625" style="1"/>
  </cols>
  <sheetData>
    <row r="1" spans="1:9" ht="15.75" x14ac:dyDescent="0.25">
      <c r="A1" s="197" t="s">
        <v>1</v>
      </c>
      <c r="B1" s="197"/>
      <c r="C1" s="197"/>
      <c r="D1" s="197"/>
      <c r="E1" s="197"/>
      <c r="F1" s="197"/>
      <c r="G1" s="197"/>
      <c r="H1" s="197"/>
      <c r="I1" s="197"/>
    </row>
    <row r="2" spans="1:9" ht="15.75" x14ac:dyDescent="0.25">
      <c r="A2" s="197" t="s">
        <v>2</v>
      </c>
      <c r="B2" s="197"/>
      <c r="C2" s="197"/>
      <c r="D2" s="197"/>
      <c r="E2" s="197"/>
      <c r="F2" s="197"/>
      <c r="G2" s="197"/>
      <c r="H2" s="197"/>
      <c r="I2" s="197"/>
    </row>
    <row r="3" spans="1:9" ht="15" x14ac:dyDescent="0.25">
      <c r="A3" s="18"/>
      <c r="B3" s="18"/>
      <c r="C3" s="18"/>
      <c r="D3" s="18"/>
      <c r="E3" s="18"/>
      <c r="F3" s="18"/>
      <c r="G3" s="18"/>
      <c r="H3" s="18"/>
      <c r="I3" s="18"/>
    </row>
    <row r="4" spans="1:9" ht="20.25" x14ac:dyDescent="0.25">
      <c r="A4" s="204" t="s">
        <v>132</v>
      </c>
      <c r="B4" s="204"/>
      <c r="C4" s="204"/>
      <c r="D4" s="204"/>
      <c r="E4" s="204"/>
      <c r="F4" s="204"/>
      <c r="G4" s="204"/>
      <c r="H4" s="204"/>
      <c r="I4" s="204"/>
    </row>
    <row r="5" spans="1:9" ht="15.75" x14ac:dyDescent="0.25">
      <c r="A5" s="197" t="s">
        <v>147</v>
      </c>
      <c r="B5" s="197"/>
      <c r="C5" s="197"/>
      <c r="D5" s="197"/>
      <c r="E5" s="197"/>
      <c r="F5" s="197"/>
      <c r="G5" s="197"/>
      <c r="H5" s="197"/>
      <c r="I5" s="197"/>
    </row>
    <row r="6" spans="1:9" ht="15.75" x14ac:dyDescent="0.25">
      <c r="A6" s="60"/>
      <c r="B6" s="60"/>
      <c r="C6" s="60"/>
      <c r="D6" s="60"/>
      <c r="E6" s="60"/>
      <c r="F6" s="60"/>
      <c r="G6" s="60"/>
      <c r="H6" s="60"/>
      <c r="I6" s="60"/>
    </row>
    <row r="7" spans="1:9" s="5" customFormat="1" ht="51.75" customHeight="1" x14ac:dyDescent="0.25">
      <c r="A7" s="219" t="str">
        <f>'Giá trị'!$A$7:$K$7</f>
        <v>- Căn cứ Hợp đồng kinh tế số 0412/HĐKT2025/TP-VIETPANEL ký ngày 04/12/2025 giữa Công ty TNHH xây dựng Việt Panel và Công ty Cổ phần Tập đoàn Thiết bị xây dựng TP về việc cho thuê thiết bị xây dựng.</v>
      </c>
      <c r="B7" s="219"/>
      <c r="C7" s="219"/>
      <c r="D7" s="219"/>
      <c r="E7" s="219"/>
      <c r="F7" s="219"/>
      <c r="G7" s="219"/>
      <c r="H7" s="219"/>
      <c r="I7" s="219"/>
    </row>
    <row r="8" spans="1:9" s="5" customFormat="1" ht="17.25" customHeight="1" x14ac:dyDescent="0.25">
      <c r="A8" s="6" t="s">
        <v>51</v>
      </c>
      <c r="B8" s="5" t="str">
        <f>'Giá trị'!$B$8</f>
        <v>Senci</v>
      </c>
      <c r="C8" s="30"/>
      <c r="D8" s="30"/>
      <c r="E8" s="30"/>
    </row>
    <row r="9" spans="1:9" s="5" customFormat="1" ht="17.25" customHeight="1" x14ac:dyDescent="0.25">
      <c r="A9" s="6" t="s">
        <v>59</v>
      </c>
      <c r="B9" s="6" t="str">
        <f>'Giá trị'!$B$9</f>
        <v>KCN Phúc Điền, Hải Dương</v>
      </c>
      <c r="C9" s="30"/>
      <c r="D9" s="30"/>
      <c r="E9" s="30"/>
    </row>
    <row r="10" spans="1:9" s="5" customFormat="1" ht="17.25" customHeight="1" x14ac:dyDescent="0.25">
      <c r="A10" s="6" t="s">
        <v>3</v>
      </c>
      <c r="C10" s="30"/>
      <c r="D10" s="30"/>
      <c r="E10" s="30"/>
    </row>
    <row r="11" spans="1:9" s="5" customFormat="1" x14ac:dyDescent="0.25">
      <c r="A11" s="5" t="s">
        <v>113</v>
      </c>
      <c r="C11" s="30"/>
      <c r="D11" s="30"/>
      <c r="E11" s="30"/>
    </row>
    <row r="12" spans="1:9" s="7" customFormat="1" ht="28.5" customHeight="1" x14ac:dyDescent="0.25">
      <c r="A12" s="7" t="str">
        <f>'Giá trị'!$A$12</f>
        <v>BÊN THUÊ (BÊN A): CÔNG TY TNHH XÂY DỰNG VIỆT PANEL</v>
      </c>
      <c r="C12" s="40"/>
      <c r="D12" s="40"/>
      <c r="E12" s="40"/>
    </row>
    <row r="13" spans="1:9" s="5" customFormat="1" ht="18" customHeight="1" x14ac:dyDescent="0.25">
      <c r="A13" s="5" t="str">
        <f>'Giá trị'!A13</f>
        <v>Địa chỉ:</v>
      </c>
      <c r="B13" s="5" t="str">
        <f>'Giá trị'!$B$13</f>
        <v>Thôn Đông Phù, Xã Tiên Du, Tỉnh Bắc Ninh, Việt Nam</v>
      </c>
      <c r="C13" s="30"/>
      <c r="D13" s="30"/>
      <c r="E13" s="30"/>
    </row>
    <row r="14" spans="1:9" s="5" customFormat="1" ht="18" customHeight="1" x14ac:dyDescent="0.25">
      <c r="A14" s="5" t="s">
        <v>5</v>
      </c>
      <c r="C14" s="198" t="str">
        <f>'Giá trị'!$C$14:$D$14</f>
        <v>0222 6535 699</v>
      </c>
      <c r="D14" s="208"/>
    </row>
    <row r="15" spans="1:9" s="5" customFormat="1" ht="18" customHeight="1" x14ac:dyDescent="0.25">
      <c r="A15" s="5" t="s">
        <v>4</v>
      </c>
      <c r="C15" s="209">
        <f>'Giá trị'!$C$15:$D$15</f>
        <v>616139999</v>
      </c>
      <c r="D15" s="209"/>
      <c r="E15" s="41" t="str">
        <f>'Giá trị'!$E$15</f>
        <v>Tại MB Ngân hàng quân đội</v>
      </c>
    </row>
    <row r="16" spans="1:9" s="5" customFormat="1" ht="18" customHeight="1" x14ac:dyDescent="0.25">
      <c r="A16" s="5" t="s">
        <v>6</v>
      </c>
      <c r="B16" s="6"/>
      <c r="C16" s="198" t="str">
        <f>'Giá trị'!$C$16:$D$16</f>
        <v>2300856941</v>
      </c>
      <c r="D16" s="198"/>
      <c r="E16" s="6"/>
      <c r="F16" s="6"/>
    </row>
    <row r="17" spans="1:9" s="5" customFormat="1" ht="18" customHeight="1" x14ac:dyDescent="0.25">
      <c r="A17" s="5" t="s">
        <v>7</v>
      </c>
      <c r="C17" s="7" t="str">
        <f>'Giá trị'!$C$17</f>
        <v>Ông Lưu Đình Cải</v>
      </c>
      <c r="D17" s="40"/>
      <c r="E17" s="5" t="str">
        <f>'Giá trị'!$E$17</f>
        <v>Chức vụ: Giám đốc</v>
      </c>
    </row>
    <row r="18" spans="1:9" s="5" customFormat="1" ht="18" customHeight="1" x14ac:dyDescent="0.25">
      <c r="C18" s="30"/>
      <c r="D18" s="30"/>
      <c r="E18" s="30"/>
    </row>
    <row r="19" spans="1:9" s="7" customFormat="1" ht="33" customHeight="1" x14ac:dyDescent="0.25">
      <c r="A19" s="7" t="s">
        <v>8</v>
      </c>
      <c r="C19" s="40"/>
      <c r="D19" s="40"/>
      <c r="E19" s="40"/>
    </row>
    <row r="20" spans="1:9" s="5" customFormat="1" ht="18" customHeight="1" x14ac:dyDescent="0.25">
      <c r="A20" s="5" t="s">
        <v>115</v>
      </c>
      <c r="C20" s="30"/>
      <c r="D20" s="30"/>
      <c r="E20" s="30"/>
    </row>
    <row r="21" spans="1:9" s="5" customFormat="1" ht="18" customHeight="1" x14ac:dyDescent="0.25">
      <c r="A21" s="5" t="s">
        <v>5</v>
      </c>
      <c r="C21" s="6" t="s">
        <v>9</v>
      </c>
      <c r="D21" s="24"/>
      <c r="E21" s="30"/>
    </row>
    <row r="22" spans="1:9" s="5" customFormat="1" ht="18" customHeight="1" x14ac:dyDescent="0.25">
      <c r="A22" s="5" t="s">
        <v>10</v>
      </c>
      <c r="C22" s="32" t="str">
        <f>'Giá trị'!$C$22</f>
        <v>8331100096008</v>
      </c>
      <c r="D22" s="17"/>
      <c r="E22" s="201" t="str">
        <f>'Giá trị'!E22:K22</f>
        <v>Tại Ngân hàng Thương mại cổ phần Quân đội - Chi nhánh Hoàng Quốc Việt</v>
      </c>
      <c r="F22" s="201"/>
      <c r="G22" s="201"/>
      <c r="H22" s="201"/>
      <c r="I22" s="201"/>
    </row>
    <row r="23" spans="1:9" s="5" customFormat="1" ht="18" customHeight="1" x14ac:dyDescent="0.25">
      <c r="A23" s="5" t="s">
        <v>6</v>
      </c>
      <c r="C23" s="6" t="s">
        <v>19</v>
      </c>
      <c r="D23" s="24"/>
      <c r="E23" s="41"/>
    </row>
    <row r="24" spans="1:9" s="5" customFormat="1" ht="18" customHeight="1" x14ac:dyDescent="0.25">
      <c r="A24" s="5" t="s">
        <v>7</v>
      </c>
      <c r="C24" s="7" t="s">
        <v>116</v>
      </c>
      <c r="D24" s="40"/>
      <c r="E24" s="41" t="s">
        <v>117</v>
      </c>
    </row>
    <row r="25" spans="1:9" s="5" customFormat="1" x14ac:dyDescent="0.25">
      <c r="C25" s="30"/>
      <c r="D25" s="30"/>
      <c r="E25" s="30"/>
    </row>
    <row r="26" spans="1:9" s="5" customFormat="1" ht="28.5" customHeight="1" x14ac:dyDescent="0.25">
      <c r="A26" s="5" t="s">
        <v>152</v>
      </c>
      <c r="C26" s="30"/>
      <c r="D26" s="30"/>
      <c r="E26" s="30"/>
    </row>
    <row r="27" spans="1:9" s="5" customFormat="1" ht="64.5" customHeight="1" x14ac:dyDescent="0.25">
      <c r="A27" s="3" t="s">
        <v>12</v>
      </c>
      <c r="B27" s="3" t="s">
        <v>13</v>
      </c>
      <c r="C27" s="3" t="s">
        <v>23</v>
      </c>
      <c r="D27" s="3" t="s">
        <v>61</v>
      </c>
      <c r="E27" s="3" t="s">
        <v>14</v>
      </c>
      <c r="F27" s="3" t="s">
        <v>15</v>
      </c>
      <c r="G27" s="3" t="s">
        <v>16</v>
      </c>
      <c r="H27" s="3" t="s">
        <v>62</v>
      </c>
      <c r="I27" s="3" t="s">
        <v>18</v>
      </c>
    </row>
    <row r="28" spans="1:9" s="5" customFormat="1" ht="43.5" customHeight="1" x14ac:dyDescent="0.25">
      <c r="A28" s="20" t="str">
        <f>ROMAN(1,0)</f>
        <v>I</v>
      </c>
      <c r="B28" s="21" t="s">
        <v>55</v>
      </c>
      <c r="C28" s="3"/>
      <c r="D28" s="3"/>
      <c r="E28" s="3"/>
      <c r="F28" s="3"/>
      <c r="G28" s="3"/>
      <c r="H28" s="3"/>
      <c r="I28" s="3"/>
    </row>
    <row r="29" spans="1:9" s="5" customFormat="1" ht="43.5" customHeight="1" x14ac:dyDescent="0.25">
      <c r="A29" s="229">
        <v>1</v>
      </c>
      <c r="B29" s="77" t="s">
        <v>148</v>
      </c>
      <c r="C29" s="42" t="s">
        <v>49</v>
      </c>
      <c r="D29" s="44">
        <v>46015</v>
      </c>
      <c r="E29" s="44">
        <v>46016</v>
      </c>
      <c r="F29" s="78"/>
      <c r="G29" s="68">
        <v>1300</v>
      </c>
      <c r="H29" s="4">
        <f>E29-D29+1</f>
        <v>2</v>
      </c>
      <c r="I29" s="42"/>
    </row>
    <row r="30" spans="1:9" ht="43.5" customHeight="1" x14ac:dyDescent="0.25">
      <c r="A30" s="229"/>
      <c r="B30" s="77" t="s">
        <v>148</v>
      </c>
      <c r="C30" s="42" t="s">
        <v>49</v>
      </c>
      <c r="D30" s="44">
        <v>46016</v>
      </c>
      <c r="E30" s="44">
        <v>46016</v>
      </c>
      <c r="F30" s="78"/>
      <c r="G30" s="68">
        <v>1600</v>
      </c>
      <c r="H30" s="4">
        <f t="shared" ref="H30:H31" si="0">E30-D30+1</f>
        <v>1</v>
      </c>
      <c r="I30" s="42"/>
    </row>
    <row r="31" spans="1:9" ht="43.5" customHeight="1" x14ac:dyDescent="0.25">
      <c r="A31" s="229"/>
      <c r="B31" s="77" t="s">
        <v>148</v>
      </c>
      <c r="C31" s="42" t="s">
        <v>49</v>
      </c>
      <c r="D31" s="44">
        <v>46016</v>
      </c>
      <c r="E31" s="44">
        <v>46016</v>
      </c>
      <c r="F31" s="78"/>
      <c r="G31" s="68">
        <v>1600</v>
      </c>
      <c r="H31" s="4">
        <f t="shared" si="0"/>
        <v>1</v>
      </c>
      <c r="I31" s="42"/>
    </row>
    <row r="32" spans="1:9" ht="43.5" customHeight="1" x14ac:dyDescent="0.25">
      <c r="A32" s="229"/>
      <c r="B32" s="226" t="s">
        <v>20</v>
      </c>
      <c r="C32" s="227"/>
      <c r="D32" s="227"/>
      <c r="E32" s="227"/>
      <c r="F32" s="228"/>
      <c r="G32" s="69">
        <f>SUM(G29:G31)</f>
        <v>4500</v>
      </c>
      <c r="H32" s="8"/>
      <c r="I32" s="42"/>
    </row>
    <row r="33" spans="1:9" ht="43.5" customHeight="1" x14ac:dyDescent="0.25">
      <c r="A33" s="224">
        <v>2</v>
      </c>
      <c r="B33" s="77" t="s">
        <v>122</v>
      </c>
      <c r="C33" s="42" t="s">
        <v>49</v>
      </c>
      <c r="D33" s="44">
        <v>46011</v>
      </c>
      <c r="E33" s="44">
        <v>46016</v>
      </c>
      <c r="F33" s="78"/>
      <c r="G33" s="68">
        <v>700</v>
      </c>
      <c r="H33" s="4">
        <f>E33-D33+1</f>
        <v>6</v>
      </c>
      <c r="I33" s="42"/>
    </row>
    <row r="34" spans="1:9" ht="43.5" customHeight="1" x14ac:dyDescent="0.25">
      <c r="A34" s="230"/>
      <c r="B34" s="77" t="s">
        <v>122</v>
      </c>
      <c r="C34" s="42" t="s">
        <v>49</v>
      </c>
      <c r="D34" s="44">
        <v>46016</v>
      </c>
      <c r="E34" s="44">
        <v>46016</v>
      </c>
      <c r="F34" s="79"/>
      <c r="G34" s="68">
        <v>1600</v>
      </c>
      <c r="H34" s="4">
        <f t="shared" ref="H34:H35" si="1">E34-D34+1</f>
        <v>1</v>
      </c>
      <c r="I34" s="42"/>
    </row>
    <row r="35" spans="1:9" ht="43.5" customHeight="1" x14ac:dyDescent="0.25">
      <c r="A35" s="230"/>
      <c r="B35" s="77" t="s">
        <v>122</v>
      </c>
      <c r="C35" s="42" t="s">
        <v>49</v>
      </c>
      <c r="D35" s="44">
        <v>46016</v>
      </c>
      <c r="E35" s="44">
        <v>46016</v>
      </c>
      <c r="F35" s="79"/>
      <c r="G35" s="68">
        <v>1600</v>
      </c>
      <c r="H35" s="4">
        <f t="shared" si="1"/>
        <v>1</v>
      </c>
      <c r="I35" s="42"/>
    </row>
    <row r="36" spans="1:9" ht="43.5" customHeight="1" x14ac:dyDescent="0.25">
      <c r="A36" s="225"/>
      <c r="B36" s="226" t="s">
        <v>20</v>
      </c>
      <c r="C36" s="227"/>
      <c r="D36" s="227"/>
      <c r="E36" s="227"/>
      <c r="F36" s="228"/>
      <c r="G36" s="69">
        <f>SUM(G33:G35)</f>
        <v>3900</v>
      </c>
      <c r="H36" s="8"/>
      <c r="I36" s="42"/>
    </row>
    <row r="37" spans="1:9" ht="43.5" customHeight="1" x14ac:dyDescent="0.25">
      <c r="A37" s="224">
        <v>3</v>
      </c>
      <c r="B37" s="77" t="s">
        <v>118</v>
      </c>
      <c r="C37" s="42" t="s">
        <v>49</v>
      </c>
      <c r="D37" s="44">
        <v>46011</v>
      </c>
      <c r="E37" s="44">
        <v>46016</v>
      </c>
      <c r="F37" s="78"/>
      <c r="G37" s="68">
        <v>700</v>
      </c>
      <c r="H37" s="4">
        <f t="shared" ref="H37" si="2">E37-D37+1</f>
        <v>6</v>
      </c>
      <c r="I37" s="42"/>
    </row>
    <row r="38" spans="1:9" ht="43.5" customHeight="1" x14ac:dyDescent="0.25">
      <c r="A38" s="230"/>
      <c r="B38" s="77" t="s">
        <v>118</v>
      </c>
      <c r="C38" s="42" t="s">
        <v>49</v>
      </c>
      <c r="D38" s="44">
        <v>46015</v>
      </c>
      <c r="E38" s="44">
        <v>46016</v>
      </c>
      <c r="F38" s="78"/>
      <c r="G38" s="68">
        <v>400</v>
      </c>
      <c r="H38" s="4">
        <f t="shared" ref="H38" si="3">E38-D38+1</f>
        <v>2</v>
      </c>
      <c r="I38" s="42"/>
    </row>
    <row r="39" spans="1:9" ht="43.5" customHeight="1" x14ac:dyDescent="0.25">
      <c r="A39" s="225"/>
      <c r="B39" s="226" t="s">
        <v>20</v>
      </c>
      <c r="C39" s="227"/>
      <c r="D39" s="227"/>
      <c r="E39" s="227"/>
      <c r="F39" s="228"/>
      <c r="G39" s="69">
        <f>SUM(G37:G38)</f>
        <v>1100</v>
      </c>
      <c r="H39" s="8"/>
      <c r="I39" s="42"/>
    </row>
    <row r="40" spans="1:9" ht="43.5" customHeight="1" x14ac:dyDescent="0.25">
      <c r="A40" s="224">
        <v>4</v>
      </c>
      <c r="B40" s="77" t="s">
        <v>50</v>
      </c>
      <c r="C40" s="42" t="s">
        <v>49</v>
      </c>
      <c r="D40" s="44">
        <v>46012</v>
      </c>
      <c r="E40" s="44">
        <v>46016</v>
      </c>
      <c r="F40" s="78"/>
      <c r="G40" s="68">
        <v>1000</v>
      </c>
      <c r="H40" s="4">
        <f t="shared" ref="H40:H50" si="4">E40-D40+1</f>
        <v>5</v>
      </c>
      <c r="I40" s="42"/>
    </row>
    <row r="41" spans="1:9" ht="43.5" customHeight="1" x14ac:dyDescent="0.25">
      <c r="A41" s="230"/>
      <c r="B41" s="77" t="s">
        <v>50</v>
      </c>
      <c r="C41" s="42" t="s">
        <v>49</v>
      </c>
      <c r="D41" s="44">
        <v>46013</v>
      </c>
      <c r="E41" s="44">
        <v>46016</v>
      </c>
      <c r="F41" s="79"/>
      <c r="G41" s="68">
        <v>2200</v>
      </c>
      <c r="H41" s="4">
        <f t="shared" si="4"/>
        <v>4</v>
      </c>
      <c r="I41" s="42"/>
    </row>
    <row r="42" spans="1:9" ht="43.5" customHeight="1" x14ac:dyDescent="0.25">
      <c r="A42" s="230"/>
      <c r="B42" s="77" t="s">
        <v>50</v>
      </c>
      <c r="C42" s="42" t="s">
        <v>49</v>
      </c>
      <c r="D42" s="44">
        <v>46013</v>
      </c>
      <c r="E42" s="44">
        <v>46016</v>
      </c>
      <c r="F42" s="79"/>
      <c r="G42" s="68">
        <v>1100</v>
      </c>
      <c r="H42" s="4">
        <f t="shared" si="4"/>
        <v>4</v>
      </c>
      <c r="I42" s="42"/>
    </row>
    <row r="43" spans="1:9" ht="43.5" customHeight="1" x14ac:dyDescent="0.25">
      <c r="A43" s="230"/>
      <c r="B43" s="77" t="s">
        <v>50</v>
      </c>
      <c r="C43" s="42" t="s">
        <v>49</v>
      </c>
      <c r="D43" s="44">
        <v>46013</v>
      </c>
      <c r="E43" s="44">
        <v>46016</v>
      </c>
      <c r="F43" s="79"/>
      <c r="G43" s="68">
        <v>2200</v>
      </c>
      <c r="H43" s="4">
        <f t="shared" si="4"/>
        <v>4</v>
      </c>
      <c r="I43" s="42"/>
    </row>
    <row r="44" spans="1:9" ht="43.5" customHeight="1" x14ac:dyDescent="0.25">
      <c r="A44" s="230"/>
      <c r="B44" s="77" t="s">
        <v>50</v>
      </c>
      <c r="C44" s="42" t="s">
        <v>49</v>
      </c>
      <c r="D44" s="44">
        <v>46014</v>
      </c>
      <c r="E44" s="44">
        <v>46016</v>
      </c>
      <c r="F44" s="79"/>
      <c r="G44" s="68">
        <v>1400</v>
      </c>
      <c r="H44" s="4">
        <f t="shared" si="4"/>
        <v>3</v>
      </c>
      <c r="I44" s="42"/>
    </row>
    <row r="45" spans="1:9" ht="43.5" customHeight="1" x14ac:dyDescent="0.25">
      <c r="A45" s="230"/>
      <c r="B45" s="77" t="s">
        <v>50</v>
      </c>
      <c r="C45" s="42" t="s">
        <v>49</v>
      </c>
      <c r="D45" s="44">
        <v>46015</v>
      </c>
      <c r="E45" s="44">
        <v>46016</v>
      </c>
      <c r="F45" s="79"/>
      <c r="G45" s="68">
        <v>1000</v>
      </c>
      <c r="H45" s="4">
        <f t="shared" si="4"/>
        <v>2</v>
      </c>
      <c r="I45" s="42"/>
    </row>
    <row r="46" spans="1:9" ht="43.5" customHeight="1" x14ac:dyDescent="0.25">
      <c r="A46" s="230"/>
      <c r="B46" s="77" t="s">
        <v>50</v>
      </c>
      <c r="C46" s="42" t="s">
        <v>49</v>
      </c>
      <c r="D46" s="44">
        <v>46015</v>
      </c>
      <c r="E46" s="44">
        <v>46016</v>
      </c>
      <c r="F46" s="79"/>
      <c r="G46" s="68">
        <v>1200</v>
      </c>
      <c r="H46" s="4">
        <f t="shared" si="4"/>
        <v>2</v>
      </c>
      <c r="I46" s="42"/>
    </row>
    <row r="47" spans="1:9" ht="43.5" customHeight="1" x14ac:dyDescent="0.25">
      <c r="A47" s="230"/>
      <c r="B47" s="77" t="s">
        <v>50</v>
      </c>
      <c r="C47" s="42" t="s">
        <v>49</v>
      </c>
      <c r="D47" s="44">
        <v>46015</v>
      </c>
      <c r="E47" s="44">
        <v>46016</v>
      </c>
      <c r="F47" s="79"/>
      <c r="G47" s="70">
        <v>500</v>
      </c>
      <c r="H47" s="4">
        <f t="shared" si="4"/>
        <v>2</v>
      </c>
      <c r="I47" s="42"/>
    </row>
    <row r="48" spans="1:9" ht="43.5" customHeight="1" x14ac:dyDescent="0.25">
      <c r="A48" s="230"/>
      <c r="B48" s="77" t="s">
        <v>50</v>
      </c>
      <c r="C48" s="42" t="s">
        <v>49</v>
      </c>
      <c r="D48" s="44">
        <v>46016</v>
      </c>
      <c r="E48" s="44">
        <v>46016</v>
      </c>
      <c r="F48" s="78"/>
      <c r="G48" s="68">
        <v>1800</v>
      </c>
      <c r="H48" s="4">
        <f t="shared" si="4"/>
        <v>1</v>
      </c>
      <c r="I48" s="42"/>
    </row>
    <row r="49" spans="1:9" ht="43.5" customHeight="1" x14ac:dyDescent="0.25">
      <c r="A49" s="230"/>
      <c r="B49" s="77" t="s">
        <v>50</v>
      </c>
      <c r="C49" s="42" t="s">
        <v>49</v>
      </c>
      <c r="D49" s="44">
        <v>46016</v>
      </c>
      <c r="E49" s="44">
        <v>46016</v>
      </c>
      <c r="F49" s="79"/>
      <c r="G49" s="68">
        <v>1200</v>
      </c>
      <c r="H49" s="4">
        <f t="shared" si="4"/>
        <v>1</v>
      </c>
      <c r="I49" s="42"/>
    </row>
    <row r="50" spans="1:9" ht="43.5" customHeight="1" x14ac:dyDescent="0.25">
      <c r="A50" s="230"/>
      <c r="B50" s="77" t="s">
        <v>50</v>
      </c>
      <c r="C50" s="42" t="s">
        <v>49</v>
      </c>
      <c r="D50" s="44">
        <v>46016</v>
      </c>
      <c r="E50" s="44">
        <v>46016</v>
      </c>
      <c r="F50" s="79"/>
      <c r="G50" s="70">
        <v>2576</v>
      </c>
      <c r="H50" s="4">
        <f t="shared" si="4"/>
        <v>1</v>
      </c>
      <c r="I50" s="42"/>
    </row>
    <row r="51" spans="1:9" ht="43.5" customHeight="1" x14ac:dyDescent="0.25">
      <c r="A51" s="225"/>
      <c r="B51" s="226" t="s">
        <v>20</v>
      </c>
      <c r="C51" s="227"/>
      <c r="D51" s="227"/>
      <c r="E51" s="227"/>
      <c r="F51" s="228"/>
      <c r="G51" s="69">
        <f>SUM(G40:G50)</f>
        <v>16176</v>
      </c>
      <c r="H51" s="8"/>
      <c r="I51" s="42"/>
    </row>
    <row r="52" spans="1:9" ht="43.5" customHeight="1" x14ac:dyDescent="0.25">
      <c r="A52" s="224">
        <v>5</v>
      </c>
      <c r="B52" s="77" t="s">
        <v>126</v>
      </c>
      <c r="C52" s="42" t="s">
        <v>24</v>
      </c>
      <c r="D52" s="44">
        <v>46011</v>
      </c>
      <c r="E52" s="44">
        <v>46016</v>
      </c>
      <c r="F52" s="78"/>
      <c r="G52" s="68">
        <v>500</v>
      </c>
      <c r="H52" s="4">
        <f t="shared" ref="H52:H57" si="5">E52-D52+1</f>
        <v>6</v>
      </c>
      <c r="I52" s="42"/>
    </row>
    <row r="53" spans="1:9" ht="43.5" customHeight="1" x14ac:dyDescent="0.25">
      <c r="A53" s="230"/>
      <c r="B53" s="77" t="s">
        <v>126</v>
      </c>
      <c r="C53" s="42" t="s">
        <v>24</v>
      </c>
      <c r="D53" s="44">
        <v>46012</v>
      </c>
      <c r="E53" s="44">
        <v>46016</v>
      </c>
      <c r="F53" s="79"/>
      <c r="G53" s="68">
        <v>3000</v>
      </c>
      <c r="H53" s="4">
        <f t="shared" si="5"/>
        <v>5</v>
      </c>
      <c r="I53" s="42"/>
    </row>
    <row r="54" spans="1:9" ht="43.5" customHeight="1" x14ac:dyDescent="0.25">
      <c r="A54" s="230"/>
      <c r="B54" s="77" t="s">
        <v>126</v>
      </c>
      <c r="C54" s="42" t="s">
        <v>24</v>
      </c>
      <c r="D54" s="44">
        <v>46013</v>
      </c>
      <c r="E54" s="44">
        <v>46016</v>
      </c>
      <c r="F54" s="79"/>
      <c r="G54" s="68">
        <v>3000</v>
      </c>
      <c r="H54" s="4">
        <f t="shared" si="5"/>
        <v>4</v>
      </c>
      <c r="I54" s="42"/>
    </row>
    <row r="55" spans="1:9" ht="43.5" customHeight="1" x14ac:dyDescent="0.25">
      <c r="A55" s="230"/>
      <c r="B55" s="77" t="s">
        <v>126</v>
      </c>
      <c r="C55" s="42" t="s">
        <v>24</v>
      </c>
      <c r="D55" s="44">
        <v>46015</v>
      </c>
      <c r="E55" s="44">
        <v>46016</v>
      </c>
      <c r="F55" s="79"/>
      <c r="G55" s="68">
        <v>6000</v>
      </c>
      <c r="H55" s="4">
        <f t="shared" si="5"/>
        <v>2</v>
      </c>
      <c r="I55" s="42"/>
    </row>
    <row r="56" spans="1:9" ht="43.5" customHeight="1" x14ac:dyDescent="0.25">
      <c r="A56" s="230"/>
      <c r="B56" s="77" t="s">
        <v>126</v>
      </c>
      <c r="C56" s="42" t="s">
        <v>24</v>
      </c>
      <c r="D56" s="44">
        <v>46016</v>
      </c>
      <c r="E56" s="44">
        <v>46016</v>
      </c>
      <c r="F56" s="79"/>
      <c r="G56" s="68">
        <v>2000</v>
      </c>
      <c r="H56" s="4">
        <f t="shared" si="5"/>
        <v>1</v>
      </c>
      <c r="I56" s="42"/>
    </row>
    <row r="57" spans="1:9" ht="43.5" customHeight="1" x14ac:dyDescent="0.25">
      <c r="A57" s="230"/>
      <c r="B57" s="77" t="s">
        <v>126</v>
      </c>
      <c r="C57" s="42" t="s">
        <v>24</v>
      </c>
      <c r="D57" s="44">
        <v>46016</v>
      </c>
      <c r="E57" s="44">
        <v>46016</v>
      </c>
      <c r="F57" s="79"/>
      <c r="G57" s="68">
        <v>2000</v>
      </c>
      <c r="H57" s="4">
        <f t="shared" si="5"/>
        <v>1</v>
      </c>
      <c r="I57" s="42"/>
    </row>
    <row r="58" spans="1:9" ht="43.5" customHeight="1" x14ac:dyDescent="0.25">
      <c r="A58" s="225"/>
      <c r="B58" s="226" t="s">
        <v>20</v>
      </c>
      <c r="C58" s="227"/>
      <c r="D58" s="227"/>
      <c r="E58" s="227"/>
      <c r="F58" s="228"/>
      <c r="G58" s="69">
        <f>SUM(G52:G57)</f>
        <v>16500</v>
      </c>
      <c r="H58" s="8"/>
      <c r="I58" s="42"/>
    </row>
    <row r="59" spans="1:9" ht="43.5" customHeight="1" x14ac:dyDescent="0.25">
      <c r="A59" s="224">
        <v>6</v>
      </c>
      <c r="B59" s="77" t="s">
        <v>149</v>
      </c>
      <c r="C59" s="42" t="s">
        <v>24</v>
      </c>
      <c r="D59" s="44">
        <v>46011</v>
      </c>
      <c r="E59" s="44">
        <v>46016</v>
      </c>
      <c r="F59" s="78"/>
      <c r="G59" s="68">
        <v>400</v>
      </c>
      <c r="H59" s="4">
        <f>E59-D59+1</f>
        <v>6</v>
      </c>
      <c r="I59" s="42"/>
    </row>
    <row r="60" spans="1:9" ht="43.5" customHeight="1" x14ac:dyDescent="0.25">
      <c r="A60" s="230"/>
      <c r="B60" s="77" t="s">
        <v>149</v>
      </c>
      <c r="C60" s="42" t="s">
        <v>24</v>
      </c>
      <c r="D60" s="44">
        <v>46012</v>
      </c>
      <c r="E60" s="44">
        <v>46016</v>
      </c>
      <c r="F60" s="79"/>
      <c r="G60" s="68">
        <v>1200</v>
      </c>
      <c r="H60" s="4">
        <f>E60-D60+1</f>
        <v>5</v>
      </c>
      <c r="I60" s="42"/>
    </row>
    <row r="61" spans="1:9" ht="43.5" customHeight="1" x14ac:dyDescent="0.25">
      <c r="A61" s="230"/>
      <c r="B61" s="77" t="s">
        <v>149</v>
      </c>
      <c r="C61" s="42" t="s">
        <v>24</v>
      </c>
      <c r="D61" s="44">
        <v>46013</v>
      </c>
      <c r="E61" s="44">
        <v>46016</v>
      </c>
      <c r="F61" s="79"/>
      <c r="G61" s="68">
        <v>800</v>
      </c>
      <c r="H61" s="4">
        <f t="shared" ref="H61:H64" si="6">E61-D61+1</f>
        <v>4</v>
      </c>
      <c r="I61" s="42"/>
    </row>
    <row r="62" spans="1:9" ht="43.5" customHeight="1" x14ac:dyDescent="0.25">
      <c r="A62" s="230"/>
      <c r="B62" s="77" t="s">
        <v>149</v>
      </c>
      <c r="C62" s="42" t="s">
        <v>24</v>
      </c>
      <c r="D62" s="44">
        <v>46015</v>
      </c>
      <c r="E62" s="44">
        <v>46016</v>
      </c>
      <c r="F62" s="79"/>
      <c r="G62" s="68">
        <v>4800</v>
      </c>
      <c r="H62" s="4">
        <f t="shared" si="6"/>
        <v>2</v>
      </c>
      <c r="I62" s="42"/>
    </row>
    <row r="63" spans="1:9" ht="43.5" customHeight="1" x14ac:dyDescent="0.25">
      <c r="A63" s="230"/>
      <c r="B63" s="77" t="s">
        <v>149</v>
      </c>
      <c r="C63" s="42" t="s">
        <v>24</v>
      </c>
      <c r="D63" s="44">
        <v>46015</v>
      </c>
      <c r="E63" s="44">
        <v>46016</v>
      </c>
      <c r="F63" s="79"/>
      <c r="G63" s="68">
        <v>3600</v>
      </c>
      <c r="H63" s="4">
        <f t="shared" si="6"/>
        <v>2</v>
      </c>
      <c r="I63" s="42"/>
    </row>
    <row r="64" spans="1:9" ht="43.5" customHeight="1" x14ac:dyDescent="0.25">
      <c r="A64" s="230"/>
      <c r="B64" s="77" t="s">
        <v>149</v>
      </c>
      <c r="C64" s="42" t="s">
        <v>24</v>
      </c>
      <c r="D64" s="44">
        <v>46016</v>
      </c>
      <c r="E64" s="44">
        <v>46016</v>
      </c>
      <c r="F64" s="79"/>
      <c r="G64" s="68">
        <v>360</v>
      </c>
      <c r="H64" s="4">
        <f t="shared" si="6"/>
        <v>1</v>
      </c>
      <c r="I64" s="42"/>
    </row>
    <row r="65" spans="1:9" ht="43.5" customHeight="1" x14ac:dyDescent="0.25">
      <c r="A65" s="225"/>
      <c r="B65" s="226" t="s">
        <v>20</v>
      </c>
      <c r="C65" s="227"/>
      <c r="D65" s="227"/>
      <c r="E65" s="227"/>
      <c r="F65" s="228"/>
      <c r="G65" s="69">
        <f>SUM(G59:G64)</f>
        <v>11160</v>
      </c>
      <c r="H65" s="8"/>
      <c r="I65" s="4"/>
    </row>
    <row r="66" spans="1:9" ht="43.5" customHeight="1" x14ac:dyDescent="0.25">
      <c r="A66" s="224">
        <v>7</v>
      </c>
      <c r="B66" s="77" t="s">
        <v>0</v>
      </c>
      <c r="C66" s="42" t="s">
        <v>24</v>
      </c>
      <c r="D66" s="44">
        <v>46011</v>
      </c>
      <c r="E66" s="44">
        <v>46016</v>
      </c>
      <c r="F66" s="79"/>
      <c r="G66" s="70">
        <v>4620</v>
      </c>
      <c r="H66" s="4">
        <f>E66-D66+1</f>
        <v>6</v>
      </c>
      <c r="I66" s="42"/>
    </row>
    <row r="67" spans="1:9" ht="43.5" customHeight="1" x14ac:dyDescent="0.25">
      <c r="A67" s="230"/>
      <c r="B67" s="77" t="s">
        <v>0</v>
      </c>
      <c r="C67" s="42" t="s">
        <v>24</v>
      </c>
      <c r="D67" s="44">
        <v>46012</v>
      </c>
      <c r="E67" s="44">
        <v>46016</v>
      </c>
      <c r="F67" s="79"/>
      <c r="G67" s="70">
        <v>3696</v>
      </c>
      <c r="H67" s="4">
        <f t="shared" ref="H67:H81" si="7">E67-D67+1</f>
        <v>5</v>
      </c>
      <c r="I67" s="42"/>
    </row>
    <row r="68" spans="1:9" ht="43.5" customHeight="1" x14ac:dyDescent="0.25">
      <c r="A68" s="230"/>
      <c r="B68" s="77" t="s">
        <v>0</v>
      </c>
      <c r="C68" s="42" t="s">
        <v>24</v>
      </c>
      <c r="D68" s="44">
        <v>46013</v>
      </c>
      <c r="E68" s="44">
        <v>46016</v>
      </c>
      <c r="F68" s="79"/>
      <c r="G68" s="70">
        <v>3696</v>
      </c>
      <c r="H68" s="4">
        <f t="shared" si="7"/>
        <v>4</v>
      </c>
      <c r="I68" s="42"/>
    </row>
    <row r="69" spans="1:9" ht="43.5" customHeight="1" x14ac:dyDescent="0.25">
      <c r="A69" s="230"/>
      <c r="B69" s="77" t="s">
        <v>0</v>
      </c>
      <c r="C69" s="42" t="s">
        <v>24</v>
      </c>
      <c r="D69" s="44">
        <v>46013</v>
      </c>
      <c r="E69" s="44">
        <v>46016</v>
      </c>
      <c r="F69" s="79"/>
      <c r="G69" s="70">
        <v>3696</v>
      </c>
      <c r="H69" s="4">
        <f t="shared" si="7"/>
        <v>4</v>
      </c>
      <c r="I69" s="42"/>
    </row>
    <row r="70" spans="1:9" ht="43.5" customHeight="1" x14ac:dyDescent="0.25">
      <c r="A70" s="230"/>
      <c r="B70" s="77" t="s">
        <v>0</v>
      </c>
      <c r="C70" s="42" t="s">
        <v>24</v>
      </c>
      <c r="D70" s="44">
        <v>46013</v>
      </c>
      <c r="E70" s="44">
        <v>46016</v>
      </c>
      <c r="F70" s="79"/>
      <c r="G70" s="70">
        <v>3695</v>
      </c>
      <c r="H70" s="4">
        <f t="shared" si="7"/>
        <v>4</v>
      </c>
      <c r="I70" s="42"/>
    </row>
    <row r="71" spans="1:9" ht="43.5" customHeight="1" x14ac:dyDescent="0.25">
      <c r="A71" s="230"/>
      <c r="B71" s="77" t="s">
        <v>0</v>
      </c>
      <c r="C71" s="42" t="s">
        <v>24</v>
      </c>
      <c r="D71" s="44">
        <v>46014</v>
      </c>
      <c r="E71" s="44">
        <v>46016</v>
      </c>
      <c r="F71" s="79"/>
      <c r="G71" s="70">
        <v>3696</v>
      </c>
      <c r="H71" s="4">
        <f t="shared" si="7"/>
        <v>3</v>
      </c>
      <c r="I71" s="42"/>
    </row>
    <row r="72" spans="1:9" ht="43.5" customHeight="1" x14ac:dyDescent="0.25">
      <c r="A72" s="230"/>
      <c r="B72" s="77" t="s">
        <v>0</v>
      </c>
      <c r="C72" s="42" t="s">
        <v>24</v>
      </c>
      <c r="D72" s="44">
        <v>46015</v>
      </c>
      <c r="E72" s="44">
        <v>46016</v>
      </c>
      <c r="F72" s="79"/>
      <c r="G72" s="70">
        <v>4000</v>
      </c>
      <c r="H72" s="4">
        <f t="shared" si="7"/>
        <v>2</v>
      </c>
      <c r="I72" s="42"/>
    </row>
    <row r="73" spans="1:9" ht="43.5" customHeight="1" x14ac:dyDescent="0.25">
      <c r="A73" s="230"/>
      <c r="B73" s="77" t="s">
        <v>153</v>
      </c>
      <c r="C73" s="42" t="s">
        <v>24</v>
      </c>
      <c r="D73" s="44">
        <v>46015</v>
      </c>
      <c r="E73" s="44">
        <v>46016</v>
      </c>
      <c r="F73" s="79"/>
      <c r="G73" s="70">
        <v>6600</v>
      </c>
      <c r="H73" s="4">
        <f t="shared" si="7"/>
        <v>2</v>
      </c>
      <c r="I73" s="42"/>
    </row>
    <row r="74" spans="1:9" ht="43.5" customHeight="1" x14ac:dyDescent="0.25">
      <c r="A74" s="230"/>
      <c r="B74" s="77" t="s">
        <v>153</v>
      </c>
      <c r="C74" s="42" t="s">
        <v>24</v>
      </c>
      <c r="D74" s="44">
        <v>46015</v>
      </c>
      <c r="E74" s="44">
        <v>46016</v>
      </c>
      <c r="F74" s="79"/>
      <c r="G74" s="70">
        <v>4620</v>
      </c>
      <c r="H74" s="4">
        <f t="shared" si="7"/>
        <v>2</v>
      </c>
      <c r="I74" s="42"/>
    </row>
    <row r="75" spans="1:9" ht="43.5" customHeight="1" x14ac:dyDescent="0.25">
      <c r="A75" s="230"/>
      <c r="B75" s="77" t="s">
        <v>0</v>
      </c>
      <c r="C75" s="42" t="s">
        <v>24</v>
      </c>
      <c r="D75" s="44">
        <v>46015</v>
      </c>
      <c r="E75" s="44">
        <v>46016</v>
      </c>
      <c r="F75" s="79"/>
      <c r="G75" s="70">
        <v>4620</v>
      </c>
      <c r="H75" s="4">
        <f t="shared" si="7"/>
        <v>2</v>
      </c>
      <c r="I75" s="42"/>
    </row>
    <row r="76" spans="1:9" ht="43.5" customHeight="1" x14ac:dyDescent="0.25">
      <c r="A76" s="230"/>
      <c r="B76" s="77" t="s">
        <v>0</v>
      </c>
      <c r="C76" s="42" t="s">
        <v>24</v>
      </c>
      <c r="D76" s="44">
        <v>46015</v>
      </c>
      <c r="E76" s="44">
        <v>46016</v>
      </c>
      <c r="F76" s="79"/>
      <c r="G76" s="70">
        <v>3696</v>
      </c>
      <c r="H76" s="4">
        <f t="shared" si="7"/>
        <v>2</v>
      </c>
      <c r="I76" s="42"/>
    </row>
    <row r="77" spans="1:9" ht="43.5" customHeight="1" x14ac:dyDescent="0.25">
      <c r="A77" s="230"/>
      <c r="B77" s="77" t="s">
        <v>0</v>
      </c>
      <c r="C77" s="42" t="s">
        <v>24</v>
      </c>
      <c r="D77" s="44">
        <v>46015</v>
      </c>
      <c r="E77" s="44">
        <v>46016</v>
      </c>
      <c r="F77" s="79"/>
      <c r="G77" s="70">
        <v>924</v>
      </c>
      <c r="H77" s="4">
        <f t="shared" si="7"/>
        <v>2</v>
      </c>
      <c r="I77" s="42"/>
    </row>
    <row r="78" spans="1:9" ht="43.5" customHeight="1" x14ac:dyDescent="0.25">
      <c r="A78" s="230"/>
      <c r="B78" s="77" t="s">
        <v>0</v>
      </c>
      <c r="C78" s="42" t="s">
        <v>24</v>
      </c>
      <c r="D78" s="44">
        <v>46016</v>
      </c>
      <c r="E78" s="44">
        <v>46016</v>
      </c>
      <c r="F78" s="79"/>
      <c r="G78" s="70">
        <v>1764</v>
      </c>
      <c r="H78" s="4">
        <f t="shared" si="7"/>
        <v>1</v>
      </c>
      <c r="I78" s="42"/>
    </row>
    <row r="79" spans="1:9" ht="43.5" customHeight="1" x14ac:dyDescent="0.25">
      <c r="A79" s="230"/>
      <c r="B79" s="77" t="s">
        <v>0</v>
      </c>
      <c r="C79" s="42" t="s">
        <v>24</v>
      </c>
      <c r="D79" s="44">
        <v>46016</v>
      </c>
      <c r="E79" s="44">
        <v>46016</v>
      </c>
      <c r="F79" s="79"/>
      <c r="G79" s="70">
        <v>4000</v>
      </c>
      <c r="H79" s="4">
        <f t="shared" si="7"/>
        <v>1</v>
      </c>
      <c r="I79" s="42"/>
    </row>
    <row r="80" spans="1:9" ht="43.5" customHeight="1" x14ac:dyDescent="0.25">
      <c r="A80" s="230"/>
      <c r="B80" s="77" t="s">
        <v>0</v>
      </c>
      <c r="C80" s="42" t="s">
        <v>24</v>
      </c>
      <c r="D80" s="44">
        <v>46016</v>
      </c>
      <c r="E80" s="44">
        <v>46016</v>
      </c>
      <c r="F80" s="79"/>
      <c r="G80" s="70">
        <v>3696</v>
      </c>
      <c r="H80" s="4">
        <f t="shared" si="7"/>
        <v>1</v>
      </c>
      <c r="I80" s="42"/>
    </row>
    <row r="81" spans="1:9" ht="43.5" customHeight="1" x14ac:dyDescent="0.25">
      <c r="A81" s="230"/>
      <c r="B81" s="77" t="s">
        <v>0</v>
      </c>
      <c r="C81" s="42" t="s">
        <v>24</v>
      </c>
      <c r="D81" s="44">
        <v>46016</v>
      </c>
      <c r="E81" s="44">
        <v>46016</v>
      </c>
      <c r="F81" s="79"/>
      <c r="G81" s="70">
        <v>3696</v>
      </c>
      <c r="H81" s="4">
        <f t="shared" si="7"/>
        <v>1</v>
      </c>
      <c r="I81" s="42"/>
    </row>
    <row r="82" spans="1:9" ht="43.5" customHeight="1" x14ac:dyDescent="0.25">
      <c r="A82" s="225"/>
      <c r="B82" s="226" t="s">
        <v>20</v>
      </c>
      <c r="C82" s="227"/>
      <c r="D82" s="227"/>
      <c r="E82" s="227"/>
      <c r="F82" s="228"/>
      <c r="G82" s="69">
        <f>SUBTOTAL(9,G66:G81)</f>
        <v>60715</v>
      </c>
      <c r="H82" s="8"/>
      <c r="I82" s="42"/>
    </row>
    <row r="83" spans="1:9" ht="43.5" customHeight="1" x14ac:dyDescent="0.25">
      <c r="A83" s="224">
        <v>8</v>
      </c>
      <c r="B83" s="77" t="s">
        <v>150</v>
      </c>
      <c r="C83" s="42" t="s">
        <v>24</v>
      </c>
      <c r="D83" s="44">
        <v>46012</v>
      </c>
      <c r="E83" s="44">
        <v>46016</v>
      </c>
      <c r="F83" s="78"/>
      <c r="G83" s="68">
        <v>750</v>
      </c>
      <c r="H83" s="4">
        <f t="shared" ref="H83:H97" si="8">E83-D83+1</f>
        <v>5</v>
      </c>
      <c r="I83" s="42"/>
    </row>
    <row r="84" spans="1:9" ht="43.5" customHeight="1" x14ac:dyDescent="0.25">
      <c r="A84" s="230"/>
      <c r="B84" s="77" t="s">
        <v>150</v>
      </c>
      <c r="C84" s="42" t="s">
        <v>24</v>
      </c>
      <c r="D84" s="44">
        <v>46013</v>
      </c>
      <c r="E84" s="44">
        <v>46016</v>
      </c>
      <c r="F84" s="78"/>
      <c r="G84" s="68">
        <v>750</v>
      </c>
      <c r="H84" s="4">
        <f t="shared" si="8"/>
        <v>4</v>
      </c>
      <c r="I84" s="42"/>
    </row>
    <row r="85" spans="1:9" ht="43.5" customHeight="1" x14ac:dyDescent="0.25">
      <c r="A85" s="230"/>
      <c r="B85" s="77" t="s">
        <v>150</v>
      </c>
      <c r="C85" s="42" t="s">
        <v>24</v>
      </c>
      <c r="D85" s="44">
        <v>46014</v>
      </c>
      <c r="E85" s="44">
        <v>46016</v>
      </c>
      <c r="F85" s="78"/>
      <c r="G85" s="68">
        <v>1500</v>
      </c>
      <c r="H85" s="4">
        <f t="shared" si="8"/>
        <v>3</v>
      </c>
      <c r="I85" s="42"/>
    </row>
    <row r="86" spans="1:9" ht="43.5" customHeight="1" x14ac:dyDescent="0.25">
      <c r="A86" s="230"/>
      <c r="B86" s="77" t="s">
        <v>150</v>
      </c>
      <c r="C86" s="42" t="s">
        <v>24</v>
      </c>
      <c r="D86" s="44">
        <v>46015</v>
      </c>
      <c r="E86" s="44">
        <v>46016</v>
      </c>
      <c r="F86" s="78"/>
      <c r="G86" s="68">
        <v>1500</v>
      </c>
      <c r="H86" s="4">
        <f t="shared" si="8"/>
        <v>2</v>
      </c>
      <c r="I86" s="42"/>
    </row>
    <row r="87" spans="1:9" ht="43.5" customHeight="1" x14ac:dyDescent="0.25">
      <c r="A87" s="230"/>
      <c r="B87" s="77" t="s">
        <v>150</v>
      </c>
      <c r="C87" s="42" t="s">
        <v>24</v>
      </c>
      <c r="D87" s="44">
        <v>46015</v>
      </c>
      <c r="E87" s="44">
        <v>46016</v>
      </c>
      <c r="F87" s="78"/>
      <c r="G87" s="68">
        <v>750</v>
      </c>
      <c r="H87" s="4">
        <f t="shared" si="8"/>
        <v>2</v>
      </c>
      <c r="I87" s="42"/>
    </row>
    <row r="88" spans="1:9" ht="43.5" customHeight="1" x14ac:dyDescent="0.25">
      <c r="A88" s="230"/>
      <c r="B88" s="77" t="s">
        <v>150</v>
      </c>
      <c r="C88" s="42" t="s">
        <v>24</v>
      </c>
      <c r="D88" s="44">
        <v>46015</v>
      </c>
      <c r="E88" s="44">
        <v>46016</v>
      </c>
      <c r="F88" s="78"/>
      <c r="G88" s="68">
        <v>1650</v>
      </c>
      <c r="H88" s="4">
        <f t="shared" si="8"/>
        <v>2</v>
      </c>
      <c r="I88" s="42" t="s">
        <v>154</v>
      </c>
    </row>
    <row r="89" spans="1:9" ht="43.5" customHeight="1" x14ac:dyDescent="0.25">
      <c r="A89" s="230"/>
      <c r="B89" s="77" t="s">
        <v>150</v>
      </c>
      <c r="C89" s="42" t="s">
        <v>24</v>
      </c>
      <c r="D89" s="44">
        <v>46016</v>
      </c>
      <c r="E89" s="44">
        <v>46016</v>
      </c>
      <c r="F89" s="78"/>
      <c r="G89" s="68">
        <v>1500</v>
      </c>
      <c r="H89" s="4">
        <f t="shared" si="8"/>
        <v>1</v>
      </c>
      <c r="I89" s="42"/>
    </row>
    <row r="90" spans="1:9" ht="43.5" customHeight="1" x14ac:dyDescent="0.25">
      <c r="A90" s="225"/>
      <c r="B90" s="226" t="s">
        <v>20</v>
      </c>
      <c r="C90" s="227"/>
      <c r="D90" s="227"/>
      <c r="E90" s="227"/>
      <c r="F90" s="228"/>
      <c r="G90" s="69">
        <f>SUM(G83:G89)</f>
        <v>8400</v>
      </c>
      <c r="H90" s="8"/>
      <c r="I90" s="42"/>
    </row>
    <row r="91" spans="1:9" ht="43.5" customHeight="1" x14ac:dyDescent="0.25">
      <c r="A91" s="224">
        <v>9</v>
      </c>
      <c r="B91" s="77" t="s">
        <v>151</v>
      </c>
      <c r="C91" s="42" t="s">
        <v>24</v>
      </c>
      <c r="D91" s="44">
        <v>46012</v>
      </c>
      <c r="E91" s="44">
        <v>46016</v>
      </c>
      <c r="F91" s="78"/>
      <c r="G91" s="68">
        <v>750</v>
      </c>
      <c r="H91" s="4">
        <f t="shared" si="8"/>
        <v>5</v>
      </c>
      <c r="I91" s="42"/>
    </row>
    <row r="92" spans="1:9" ht="43.5" customHeight="1" x14ac:dyDescent="0.25">
      <c r="A92" s="230"/>
      <c r="B92" s="77" t="s">
        <v>151</v>
      </c>
      <c r="C92" s="42" t="s">
        <v>24</v>
      </c>
      <c r="D92" s="44">
        <v>46013</v>
      </c>
      <c r="E92" s="44">
        <v>46016</v>
      </c>
      <c r="F92" s="78"/>
      <c r="G92" s="68">
        <v>750</v>
      </c>
      <c r="H92" s="4">
        <f t="shared" si="8"/>
        <v>4</v>
      </c>
      <c r="I92" s="42"/>
    </row>
    <row r="93" spans="1:9" ht="43.5" customHeight="1" x14ac:dyDescent="0.25">
      <c r="A93" s="230"/>
      <c r="B93" s="77" t="s">
        <v>151</v>
      </c>
      <c r="C93" s="42" t="s">
        <v>24</v>
      </c>
      <c r="D93" s="44">
        <v>46014</v>
      </c>
      <c r="E93" s="44">
        <v>46016</v>
      </c>
      <c r="F93" s="78"/>
      <c r="G93" s="68">
        <v>1500</v>
      </c>
      <c r="H93" s="4">
        <f t="shared" si="8"/>
        <v>3</v>
      </c>
      <c r="I93" s="42"/>
    </row>
    <row r="94" spans="1:9" ht="43.5" customHeight="1" x14ac:dyDescent="0.25">
      <c r="A94" s="230"/>
      <c r="B94" s="77" t="s">
        <v>151</v>
      </c>
      <c r="C94" s="42" t="s">
        <v>24</v>
      </c>
      <c r="D94" s="44">
        <v>46015</v>
      </c>
      <c r="E94" s="44">
        <v>46016</v>
      </c>
      <c r="F94" s="78"/>
      <c r="G94" s="68">
        <v>1500</v>
      </c>
      <c r="H94" s="4">
        <f t="shared" si="8"/>
        <v>2</v>
      </c>
      <c r="I94" s="42"/>
    </row>
    <row r="95" spans="1:9" ht="43.5" customHeight="1" x14ac:dyDescent="0.25">
      <c r="A95" s="230"/>
      <c r="B95" s="77" t="s">
        <v>151</v>
      </c>
      <c r="C95" s="42" t="s">
        <v>24</v>
      </c>
      <c r="D95" s="44">
        <v>46015</v>
      </c>
      <c r="E95" s="44">
        <v>46016</v>
      </c>
      <c r="F95" s="78"/>
      <c r="G95" s="68">
        <v>3000</v>
      </c>
      <c r="H95" s="4">
        <f t="shared" si="8"/>
        <v>2</v>
      </c>
      <c r="I95" s="42"/>
    </row>
    <row r="96" spans="1:9" ht="43.5" customHeight="1" x14ac:dyDescent="0.25">
      <c r="A96" s="230"/>
      <c r="B96" s="77" t="s">
        <v>151</v>
      </c>
      <c r="C96" s="42" t="s">
        <v>24</v>
      </c>
      <c r="D96" s="44">
        <v>46015</v>
      </c>
      <c r="E96" s="44">
        <v>46016</v>
      </c>
      <c r="F96" s="78"/>
      <c r="G96" s="68">
        <v>2350</v>
      </c>
      <c r="H96" s="4">
        <f t="shared" si="8"/>
        <v>2</v>
      </c>
      <c r="I96" s="42" t="s">
        <v>154</v>
      </c>
    </row>
    <row r="97" spans="1:10" ht="43.5" customHeight="1" x14ac:dyDescent="0.25">
      <c r="A97" s="230"/>
      <c r="B97" s="77" t="s">
        <v>151</v>
      </c>
      <c r="C97" s="42" t="s">
        <v>24</v>
      </c>
      <c r="D97" s="44">
        <v>46016</v>
      </c>
      <c r="E97" s="44">
        <v>46016</v>
      </c>
      <c r="F97" s="78"/>
      <c r="G97" s="68">
        <v>1500</v>
      </c>
      <c r="H97" s="4">
        <f t="shared" si="8"/>
        <v>1</v>
      </c>
      <c r="I97" s="42"/>
    </row>
    <row r="98" spans="1:10" ht="43.5" customHeight="1" x14ac:dyDescent="0.25">
      <c r="A98" s="225"/>
      <c r="B98" s="226" t="s">
        <v>20</v>
      </c>
      <c r="C98" s="227"/>
      <c r="D98" s="227"/>
      <c r="E98" s="227"/>
      <c r="F98" s="228"/>
      <c r="G98" s="69">
        <f>SUM(G91:G97)</f>
        <v>11350</v>
      </c>
      <c r="H98" s="8"/>
      <c r="I98" s="42"/>
      <c r="J98" s="72"/>
    </row>
    <row r="99" spans="1:10" ht="43.5" customHeight="1" x14ac:dyDescent="0.25">
      <c r="A99" s="59" t="str">
        <f>ROMAN(2,0)</f>
        <v>II</v>
      </c>
      <c r="B99" s="22" t="s">
        <v>56</v>
      </c>
      <c r="C99" s="59"/>
      <c r="D99" s="59"/>
      <c r="E99" s="59"/>
      <c r="F99" s="59"/>
      <c r="G99" s="69"/>
      <c r="H99" s="8"/>
      <c r="I99" s="8"/>
    </row>
    <row r="100" spans="1:10" ht="43.5" customHeight="1" x14ac:dyDescent="0.25">
      <c r="A100" s="42">
        <v>1</v>
      </c>
      <c r="B100" s="80" t="s">
        <v>63</v>
      </c>
      <c r="C100" s="77" t="s">
        <v>57</v>
      </c>
      <c r="D100" s="77"/>
      <c r="E100" s="59"/>
      <c r="F100" s="79"/>
      <c r="G100" s="79">
        <v>16</v>
      </c>
      <c r="H100" s="79"/>
      <c r="I100" s="23"/>
      <c r="J100" s="72"/>
    </row>
    <row r="101" spans="1:10" ht="43.5" customHeight="1" x14ac:dyDescent="0.25">
      <c r="A101" s="42">
        <v>2</v>
      </c>
      <c r="B101" s="80" t="s">
        <v>72</v>
      </c>
      <c r="C101" s="77" t="s">
        <v>57</v>
      </c>
      <c r="D101" s="77"/>
      <c r="E101" s="59"/>
      <c r="F101" s="79"/>
      <c r="G101" s="79">
        <v>1</v>
      </c>
      <c r="H101" s="79"/>
      <c r="I101" s="23"/>
    </row>
    <row r="102" spans="1:10" x14ac:dyDescent="0.25">
      <c r="A102" s="5" t="s">
        <v>60</v>
      </c>
    </row>
    <row r="103" spans="1:10" x14ac:dyDescent="0.25">
      <c r="A103" s="236" t="s">
        <v>21</v>
      </c>
      <c r="B103" s="236"/>
      <c r="C103" s="236"/>
      <c r="D103" s="236"/>
      <c r="E103" s="236" t="s">
        <v>22</v>
      </c>
      <c r="F103" s="236"/>
      <c r="G103" s="236"/>
      <c r="H103" s="236"/>
      <c r="I103" s="236"/>
    </row>
    <row r="109" spans="1:10" ht="15.75" x14ac:dyDescent="0.25">
      <c r="A109" s="197" t="s">
        <v>1</v>
      </c>
      <c r="B109" s="197"/>
      <c r="C109" s="197"/>
      <c r="D109" s="197"/>
      <c r="E109" s="197"/>
      <c r="F109" s="197"/>
      <c r="G109" s="197"/>
      <c r="H109" s="197"/>
      <c r="I109" s="197"/>
    </row>
    <row r="110" spans="1:10" ht="15.75" x14ac:dyDescent="0.25">
      <c r="A110" s="197" t="s">
        <v>2</v>
      </c>
      <c r="B110" s="197"/>
      <c r="C110" s="197"/>
      <c r="D110" s="197"/>
      <c r="E110" s="197"/>
      <c r="F110" s="197"/>
      <c r="G110" s="197"/>
      <c r="H110" s="197"/>
      <c r="I110" s="197"/>
    </row>
    <row r="111" spans="1:10" ht="15" x14ac:dyDescent="0.25">
      <c r="A111" s="18"/>
      <c r="B111" s="18"/>
      <c r="C111" s="18"/>
      <c r="D111" s="18"/>
      <c r="E111" s="18"/>
      <c r="F111" s="18"/>
      <c r="G111" s="18"/>
      <c r="H111" s="18"/>
      <c r="I111" s="18"/>
    </row>
    <row r="112" spans="1:10" ht="20.25" x14ac:dyDescent="0.25">
      <c r="A112" s="204" t="s">
        <v>132</v>
      </c>
      <c r="B112" s="204"/>
      <c r="C112" s="204"/>
      <c r="D112" s="204"/>
      <c r="E112" s="204"/>
      <c r="F112" s="204"/>
      <c r="G112" s="204"/>
      <c r="H112" s="204"/>
      <c r="I112" s="204"/>
    </row>
    <row r="113" spans="1:9" ht="15.75" x14ac:dyDescent="0.25">
      <c r="A113" s="197" t="s">
        <v>160</v>
      </c>
      <c r="B113" s="197"/>
      <c r="C113" s="197"/>
      <c r="D113" s="197"/>
      <c r="E113" s="197"/>
      <c r="F113" s="197"/>
      <c r="G113" s="197"/>
      <c r="H113" s="197"/>
      <c r="I113" s="197"/>
    </row>
    <row r="114" spans="1:9" ht="15.75" x14ac:dyDescent="0.25">
      <c r="A114" s="60"/>
      <c r="B114" s="60"/>
      <c r="C114" s="60"/>
      <c r="D114" s="60"/>
      <c r="E114" s="60"/>
      <c r="F114" s="60"/>
      <c r="G114" s="60"/>
      <c r="H114" s="60"/>
      <c r="I114" s="60"/>
    </row>
    <row r="115" spans="1:9" ht="39" customHeight="1" x14ac:dyDescent="0.25">
      <c r="A115" s="219" t="str">
        <f>'Giá trị'!$A$7:$K$7</f>
        <v>- Căn cứ Hợp đồng kinh tế số 0412/HĐKT2025/TP-VIETPANEL ký ngày 04/12/2025 giữa Công ty TNHH xây dựng Việt Panel và Công ty Cổ phần Tập đoàn Thiết bị xây dựng TP về việc cho thuê thiết bị xây dựng.</v>
      </c>
      <c r="B115" s="219"/>
      <c r="C115" s="219"/>
      <c r="D115" s="219"/>
      <c r="E115" s="219"/>
      <c r="F115" s="219"/>
      <c r="G115" s="219"/>
      <c r="H115" s="219"/>
      <c r="I115" s="219"/>
    </row>
    <row r="116" spans="1:9" x14ac:dyDescent="0.25">
      <c r="A116" s="6" t="s">
        <v>51</v>
      </c>
      <c r="B116" s="5" t="str">
        <f>'Giá trị'!$B$8</f>
        <v>Senci</v>
      </c>
      <c r="C116" s="30"/>
      <c r="D116" s="30"/>
      <c r="E116" s="30"/>
    </row>
    <row r="117" spans="1:9" x14ac:dyDescent="0.25">
      <c r="A117" s="6" t="s">
        <v>59</v>
      </c>
      <c r="B117" s="6" t="str">
        <f>'Giá trị'!$B$9</f>
        <v>KCN Phúc Điền, Hải Dương</v>
      </c>
      <c r="C117" s="30"/>
      <c r="D117" s="30"/>
      <c r="E117" s="30"/>
    </row>
    <row r="118" spans="1:9" x14ac:dyDescent="0.25">
      <c r="A118" s="6" t="s">
        <v>3</v>
      </c>
      <c r="C118" s="30"/>
      <c r="D118" s="30"/>
      <c r="E118" s="30"/>
    </row>
    <row r="119" spans="1:9" x14ac:dyDescent="0.25">
      <c r="A119" s="5" t="s">
        <v>172</v>
      </c>
      <c r="C119" s="30"/>
      <c r="D119" s="30"/>
      <c r="E119" s="30"/>
    </row>
    <row r="120" spans="1:9" x14ac:dyDescent="0.25">
      <c r="A120" s="7" t="str">
        <f>'Giá trị'!$A$12</f>
        <v>BÊN THUÊ (BÊN A): CÔNG TY TNHH XÂY DỰNG VIỆT PANEL</v>
      </c>
      <c r="B120" s="7"/>
      <c r="C120" s="40"/>
      <c r="D120" s="40"/>
      <c r="E120" s="40"/>
      <c r="F120" s="7"/>
      <c r="G120" s="7"/>
      <c r="H120" s="7"/>
      <c r="I120" s="7"/>
    </row>
    <row r="121" spans="1:9" x14ac:dyDescent="0.25">
      <c r="A121" s="5" t="str">
        <f>'Giá trị'!A121</f>
        <v>- Căn cứ Biên bản đối chiếu khối lượng thuê thiết bị tháng 01/2026</v>
      </c>
      <c r="B121" s="5" t="str">
        <f>'Giá trị'!$B$13</f>
        <v>Thôn Đông Phù, Xã Tiên Du, Tỉnh Bắc Ninh, Việt Nam</v>
      </c>
      <c r="C121" s="30"/>
      <c r="D121" s="30"/>
      <c r="E121" s="30"/>
    </row>
    <row r="122" spans="1:9" x14ac:dyDescent="0.25">
      <c r="A122" s="5" t="s">
        <v>5</v>
      </c>
      <c r="C122" s="198" t="str">
        <f>'Giá trị'!$C$14:$D$14</f>
        <v>0222 6535 699</v>
      </c>
      <c r="D122" s="208"/>
    </row>
    <row r="123" spans="1:9" x14ac:dyDescent="0.25">
      <c r="A123" s="5" t="s">
        <v>4</v>
      </c>
      <c r="C123" s="209">
        <f>'Giá trị'!$C$15:$D$15</f>
        <v>616139999</v>
      </c>
      <c r="D123" s="209"/>
      <c r="E123" s="41" t="str">
        <f>'Giá trị'!$E$15</f>
        <v>Tại MB Ngân hàng quân đội</v>
      </c>
    </row>
    <row r="124" spans="1:9" x14ac:dyDescent="0.25">
      <c r="A124" s="5" t="s">
        <v>6</v>
      </c>
      <c r="B124" s="6"/>
      <c r="C124" s="198" t="str">
        <f>'Giá trị'!$C$16:$D$16</f>
        <v>2300856941</v>
      </c>
      <c r="D124" s="198"/>
      <c r="E124" s="6"/>
      <c r="F124" s="6"/>
    </row>
    <row r="125" spans="1:9" x14ac:dyDescent="0.25">
      <c r="A125" s="5" t="s">
        <v>7</v>
      </c>
      <c r="C125" s="7" t="str">
        <f>'Giá trị'!$C$17</f>
        <v>Ông Lưu Đình Cải</v>
      </c>
      <c r="D125" s="40"/>
      <c r="E125" s="5" t="str">
        <f>'Giá trị'!$E$17</f>
        <v>Chức vụ: Giám đốc</v>
      </c>
    </row>
    <row r="126" spans="1:9" x14ac:dyDescent="0.25">
      <c r="C126" s="30"/>
      <c r="D126" s="30"/>
      <c r="E126" s="30"/>
    </row>
    <row r="127" spans="1:9" x14ac:dyDescent="0.25">
      <c r="A127" s="7" t="s">
        <v>8</v>
      </c>
      <c r="B127" s="7"/>
      <c r="C127" s="40"/>
      <c r="D127" s="40"/>
      <c r="E127" s="40"/>
      <c r="F127" s="7"/>
      <c r="G127" s="7"/>
      <c r="H127" s="7"/>
      <c r="I127" s="7"/>
    </row>
    <row r="128" spans="1:9" x14ac:dyDescent="0.25">
      <c r="A128" s="5" t="s">
        <v>115</v>
      </c>
      <c r="C128" s="30"/>
      <c r="D128" s="30"/>
      <c r="E128" s="30"/>
    </row>
    <row r="129" spans="1:10" x14ac:dyDescent="0.25">
      <c r="A129" s="5" t="s">
        <v>5</v>
      </c>
      <c r="C129" s="6" t="s">
        <v>9</v>
      </c>
      <c r="D129" s="24"/>
      <c r="E129" s="30"/>
    </row>
    <row r="130" spans="1:10" x14ac:dyDescent="0.25">
      <c r="A130" s="5" t="s">
        <v>10</v>
      </c>
      <c r="C130" s="32" t="str">
        <f>'Giá trị'!$C$22</f>
        <v>8331100096008</v>
      </c>
      <c r="D130" s="17"/>
      <c r="E130" s="201" t="str">
        <f>$E$22</f>
        <v>Tại Ngân hàng Thương mại cổ phần Quân đội - Chi nhánh Hoàng Quốc Việt</v>
      </c>
      <c r="F130" s="201"/>
      <c r="G130" s="201"/>
      <c r="H130" s="201"/>
      <c r="I130" s="201"/>
    </row>
    <row r="131" spans="1:10" x14ac:dyDescent="0.25">
      <c r="A131" s="5" t="s">
        <v>6</v>
      </c>
      <c r="C131" s="6" t="s">
        <v>19</v>
      </c>
      <c r="D131" s="24"/>
      <c r="E131" s="41"/>
    </row>
    <row r="132" spans="1:10" x14ac:dyDescent="0.25">
      <c r="A132" s="5" t="s">
        <v>7</v>
      </c>
      <c r="C132" s="7" t="s">
        <v>116</v>
      </c>
      <c r="D132" s="40"/>
      <c r="E132" s="41" t="s">
        <v>117</v>
      </c>
    </row>
    <row r="133" spans="1:10" x14ac:dyDescent="0.25">
      <c r="C133" s="30"/>
      <c r="D133" s="30"/>
      <c r="E133" s="30"/>
    </row>
    <row r="134" spans="1:10" x14ac:dyDescent="0.25">
      <c r="A134" s="5" t="s">
        <v>173</v>
      </c>
      <c r="C134" s="30"/>
      <c r="D134" s="30"/>
      <c r="E134" s="30"/>
    </row>
    <row r="135" spans="1:10" ht="49.5" x14ac:dyDescent="0.25">
      <c r="A135" s="3" t="s">
        <v>12</v>
      </c>
      <c r="B135" s="3" t="s">
        <v>13</v>
      </c>
      <c r="C135" s="3" t="s">
        <v>23</v>
      </c>
      <c r="D135" s="3" t="s">
        <v>61</v>
      </c>
      <c r="E135" s="3" t="s">
        <v>14</v>
      </c>
      <c r="F135" s="3" t="s">
        <v>15</v>
      </c>
      <c r="G135" s="3" t="s">
        <v>16</v>
      </c>
      <c r="H135" s="3" t="s">
        <v>62</v>
      </c>
      <c r="I135" s="3" t="s">
        <v>18</v>
      </c>
      <c r="J135" s="72">
        <f>+G152+G173+G175+G201+G210+G219+G255+G270+G284+G286</f>
        <v>424034</v>
      </c>
    </row>
    <row r="136" spans="1:10" ht="36" customHeight="1" x14ac:dyDescent="0.25">
      <c r="A136" s="3" t="str">
        <f>ROMAN(1,0)</f>
        <v>I</v>
      </c>
      <c r="B136" s="21" t="s">
        <v>55</v>
      </c>
      <c r="C136" s="3"/>
      <c r="D136" s="3"/>
      <c r="E136" s="3"/>
      <c r="F136" s="3"/>
      <c r="G136" s="3"/>
      <c r="H136" s="3"/>
      <c r="I136" s="3"/>
    </row>
    <row r="137" spans="1:10" ht="36" customHeight="1" x14ac:dyDescent="0.25">
      <c r="A137" s="229">
        <v>1</v>
      </c>
      <c r="B137" s="77" t="s">
        <v>148</v>
      </c>
      <c r="C137" s="42" t="s">
        <v>49</v>
      </c>
      <c r="D137" s="44">
        <v>46017</v>
      </c>
      <c r="E137" s="44">
        <v>46047</v>
      </c>
      <c r="F137" s="78">
        <v>4500</v>
      </c>
      <c r="G137" s="68">
        <f>+F137</f>
        <v>4500</v>
      </c>
      <c r="H137" s="4">
        <f>E137-D137+1</f>
        <v>31</v>
      </c>
      <c r="I137" s="4"/>
    </row>
    <row r="138" spans="1:10" ht="36" customHeight="1" x14ac:dyDescent="0.25">
      <c r="A138" s="229"/>
      <c r="B138" s="77" t="s">
        <v>148</v>
      </c>
      <c r="C138" s="42" t="s">
        <v>49</v>
      </c>
      <c r="D138" s="44">
        <v>46017</v>
      </c>
      <c r="E138" s="44">
        <v>46047</v>
      </c>
      <c r="F138" s="78"/>
      <c r="G138" s="68">
        <v>1600</v>
      </c>
      <c r="H138" s="4">
        <f t="shared" ref="H138:H151" si="9">E138-D138+1</f>
        <v>31</v>
      </c>
      <c r="I138" s="4" t="s">
        <v>167</v>
      </c>
    </row>
    <row r="139" spans="1:10" ht="36" customHeight="1" x14ac:dyDescent="0.25">
      <c r="A139" s="229"/>
      <c r="B139" s="77" t="s">
        <v>148</v>
      </c>
      <c r="C139" s="42" t="s">
        <v>49</v>
      </c>
      <c r="D139" s="44">
        <v>46017</v>
      </c>
      <c r="E139" s="44">
        <v>46047</v>
      </c>
      <c r="F139" s="78"/>
      <c r="G139" s="68">
        <v>1600</v>
      </c>
      <c r="H139" s="4">
        <f t="shared" si="9"/>
        <v>31</v>
      </c>
      <c r="I139" s="4" t="s">
        <v>166</v>
      </c>
    </row>
    <row r="140" spans="1:10" ht="36" customHeight="1" x14ac:dyDescent="0.25">
      <c r="A140" s="229"/>
      <c r="B140" s="77" t="s">
        <v>148</v>
      </c>
      <c r="C140" s="42" t="s">
        <v>49</v>
      </c>
      <c r="D140" s="44">
        <v>46019</v>
      </c>
      <c r="E140" s="44">
        <v>46047</v>
      </c>
      <c r="F140" s="78"/>
      <c r="G140" s="68">
        <v>1600</v>
      </c>
      <c r="H140" s="4">
        <f t="shared" si="9"/>
        <v>29</v>
      </c>
      <c r="I140" s="4" t="s">
        <v>168</v>
      </c>
    </row>
    <row r="141" spans="1:10" ht="36" customHeight="1" x14ac:dyDescent="0.25">
      <c r="A141" s="229"/>
      <c r="B141" s="77" t="s">
        <v>148</v>
      </c>
      <c r="C141" s="42" t="s">
        <v>49</v>
      </c>
      <c r="D141" s="44">
        <v>46019</v>
      </c>
      <c r="E141" s="44">
        <v>46047</v>
      </c>
      <c r="F141" s="78"/>
      <c r="G141" s="68">
        <v>1600</v>
      </c>
      <c r="H141" s="4">
        <f t="shared" si="9"/>
        <v>29</v>
      </c>
      <c r="I141" s="4" t="s">
        <v>169</v>
      </c>
    </row>
    <row r="142" spans="1:10" ht="36" customHeight="1" x14ac:dyDescent="0.25">
      <c r="A142" s="229"/>
      <c r="B142" s="77" t="s">
        <v>148</v>
      </c>
      <c r="C142" s="42" t="s">
        <v>49</v>
      </c>
      <c r="D142" s="44">
        <v>46021</v>
      </c>
      <c r="E142" s="44">
        <v>46047</v>
      </c>
      <c r="F142" s="78"/>
      <c r="G142" s="68">
        <v>1600</v>
      </c>
      <c r="H142" s="4">
        <f t="shared" si="9"/>
        <v>27</v>
      </c>
      <c r="I142" s="4" t="s">
        <v>178</v>
      </c>
    </row>
    <row r="143" spans="1:10" ht="36" customHeight="1" x14ac:dyDescent="0.25">
      <c r="A143" s="229"/>
      <c r="B143" s="77" t="s">
        <v>148</v>
      </c>
      <c r="C143" s="42" t="s">
        <v>49</v>
      </c>
      <c r="D143" s="44">
        <v>46022</v>
      </c>
      <c r="E143" s="44">
        <v>46047</v>
      </c>
      <c r="F143" s="78"/>
      <c r="G143" s="68">
        <v>1600</v>
      </c>
      <c r="H143" s="4">
        <f t="shared" si="9"/>
        <v>26</v>
      </c>
      <c r="I143" s="4" t="s">
        <v>169</v>
      </c>
    </row>
    <row r="144" spans="1:10" ht="36" customHeight="1" x14ac:dyDescent="0.25">
      <c r="A144" s="229"/>
      <c r="B144" s="77" t="s">
        <v>148</v>
      </c>
      <c r="C144" s="42" t="s">
        <v>49</v>
      </c>
      <c r="D144" s="44">
        <v>46024</v>
      </c>
      <c r="E144" s="44">
        <v>46047</v>
      </c>
      <c r="F144" s="78"/>
      <c r="G144" s="68">
        <v>400</v>
      </c>
      <c r="H144" s="4">
        <f t="shared" si="9"/>
        <v>24</v>
      </c>
      <c r="I144" s="4" t="s">
        <v>182</v>
      </c>
    </row>
    <row r="145" spans="1:9" ht="36" customHeight="1" x14ac:dyDescent="0.25">
      <c r="A145" s="229"/>
      <c r="B145" s="77" t="s">
        <v>148</v>
      </c>
      <c r="C145" s="42" t="s">
        <v>49</v>
      </c>
      <c r="D145" s="44">
        <v>46028</v>
      </c>
      <c r="E145" s="44">
        <v>46047</v>
      </c>
      <c r="F145" s="78"/>
      <c r="G145" s="68">
        <v>1600</v>
      </c>
      <c r="H145" s="4">
        <f t="shared" si="9"/>
        <v>20</v>
      </c>
      <c r="I145" s="4" t="s">
        <v>189</v>
      </c>
    </row>
    <row r="146" spans="1:9" ht="36" customHeight="1" x14ac:dyDescent="0.25">
      <c r="A146" s="229"/>
      <c r="B146" s="77" t="s">
        <v>148</v>
      </c>
      <c r="C146" s="42" t="s">
        <v>49</v>
      </c>
      <c r="D146" s="44">
        <v>46029</v>
      </c>
      <c r="E146" s="44">
        <v>46047</v>
      </c>
      <c r="F146" s="78"/>
      <c r="G146" s="68">
        <v>800</v>
      </c>
      <c r="H146" s="4">
        <f t="shared" si="9"/>
        <v>19</v>
      </c>
      <c r="I146" s="4" t="s">
        <v>182</v>
      </c>
    </row>
    <row r="147" spans="1:9" ht="36" customHeight="1" x14ac:dyDescent="0.25">
      <c r="A147" s="229"/>
      <c r="B147" s="77" t="s">
        <v>148</v>
      </c>
      <c r="C147" s="42" t="s">
        <v>49</v>
      </c>
      <c r="D147" s="44">
        <v>46032</v>
      </c>
      <c r="E147" s="44">
        <v>46047</v>
      </c>
      <c r="F147" s="78"/>
      <c r="G147" s="68">
        <v>600</v>
      </c>
      <c r="H147" s="4">
        <f t="shared" si="9"/>
        <v>16</v>
      </c>
      <c r="I147" s="4" t="s">
        <v>181</v>
      </c>
    </row>
    <row r="148" spans="1:9" ht="36" customHeight="1" x14ac:dyDescent="0.25">
      <c r="A148" s="229"/>
      <c r="B148" s="77" t="s">
        <v>148</v>
      </c>
      <c r="C148" s="42" t="s">
        <v>49</v>
      </c>
      <c r="D148" s="44">
        <v>46033</v>
      </c>
      <c r="E148" s="44">
        <v>46047</v>
      </c>
      <c r="F148" s="78"/>
      <c r="G148" s="68">
        <v>1600</v>
      </c>
      <c r="H148" s="4">
        <f t="shared" si="9"/>
        <v>15</v>
      </c>
      <c r="I148" s="4" t="s">
        <v>190</v>
      </c>
    </row>
    <row r="149" spans="1:9" ht="36" customHeight="1" x14ac:dyDescent="0.25">
      <c r="A149" s="229"/>
      <c r="B149" s="77" t="s">
        <v>148</v>
      </c>
      <c r="C149" s="42" t="s">
        <v>49</v>
      </c>
      <c r="D149" s="44">
        <v>46034</v>
      </c>
      <c r="E149" s="44">
        <v>46047</v>
      </c>
      <c r="F149" s="78"/>
      <c r="G149" s="68">
        <v>200</v>
      </c>
      <c r="H149" s="4">
        <f t="shared" si="9"/>
        <v>14</v>
      </c>
      <c r="I149" s="4" t="s">
        <v>189</v>
      </c>
    </row>
    <row r="150" spans="1:9" ht="36" customHeight="1" x14ac:dyDescent="0.25">
      <c r="A150" s="229"/>
      <c r="B150" s="77" t="s">
        <v>148</v>
      </c>
      <c r="C150" s="42" t="s">
        <v>49</v>
      </c>
      <c r="D150" s="44">
        <v>46034</v>
      </c>
      <c r="E150" s="44">
        <v>46047</v>
      </c>
      <c r="F150" s="78"/>
      <c r="G150" s="68">
        <v>1600</v>
      </c>
      <c r="H150" s="4">
        <f t="shared" si="9"/>
        <v>14</v>
      </c>
      <c r="I150" s="4" t="s">
        <v>191</v>
      </c>
    </row>
    <row r="151" spans="1:9" ht="36" customHeight="1" x14ac:dyDescent="0.25">
      <c r="A151" s="229"/>
      <c r="B151" s="77" t="s">
        <v>148</v>
      </c>
      <c r="C151" s="42" t="s">
        <v>49</v>
      </c>
      <c r="D151" s="44">
        <v>46035</v>
      </c>
      <c r="E151" s="44">
        <v>46047</v>
      </c>
      <c r="F151" s="78"/>
      <c r="G151" s="68">
        <v>500</v>
      </c>
      <c r="H151" s="4">
        <f t="shared" si="9"/>
        <v>13</v>
      </c>
      <c r="I151" s="4" t="s">
        <v>192</v>
      </c>
    </row>
    <row r="152" spans="1:9" ht="36" customHeight="1" x14ac:dyDescent="0.25">
      <c r="A152" s="229"/>
      <c r="B152" s="226" t="s">
        <v>20</v>
      </c>
      <c r="C152" s="227"/>
      <c r="D152" s="227"/>
      <c r="E152" s="227"/>
      <c r="F152" s="228"/>
      <c r="G152" s="69">
        <f>SUM(G137:G151)</f>
        <v>21400</v>
      </c>
      <c r="H152" s="8"/>
      <c r="I152" s="4"/>
    </row>
    <row r="153" spans="1:9" ht="36" customHeight="1" x14ac:dyDescent="0.25">
      <c r="A153" s="224">
        <v>2</v>
      </c>
      <c r="B153" s="77" t="s">
        <v>122</v>
      </c>
      <c r="C153" s="42" t="s">
        <v>49</v>
      </c>
      <c r="D153" s="44">
        <v>46017</v>
      </c>
      <c r="E153" s="44">
        <v>46047</v>
      </c>
      <c r="F153" s="78">
        <v>3900</v>
      </c>
      <c r="G153" s="68">
        <f>+F153</f>
        <v>3900</v>
      </c>
      <c r="H153" s="4">
        <f t="shared" ref="H153:H172" si="10">E153-D153+1</f>
        <v>31</v>
      </c>
      <c r="I153" s="4"/>
    </row>
    <row r="154" spans="1:9" ht="36" customHeight="1" x14ac:dyDescent="0.25">
      <c r="A154" s="230"/>
      <c r="B154" s="77" t="s">
        <v>122</v>
      </c>
      <c r="C154" s="42" t="s">
        <v>49</v>
      </c>
      <c r="D154" s="44">
        <v>46017</v>
      </c>
      <c r="E154" s="44">
        <v>46047</v>
      </c>
      <c r="F154" s="79"/>
      <c r="G154" s="68">
        <v>1700</v>
      </c>
      <c r="H154" s="4">
        <f t="shared" si="10"/>
        <v>31</v>
      </c>
      <c r="I154" s="4" t="s">
        <v>166</v>
      </c>
    </row>
    <row r="155" spans="1:9" ht="36" customHeight="1" x14ac:dyDescent="0.25">
      <c r="A155" s="230"/>
      <c r="B155" s="77" t="s">
        <v>122</v>
      </c>
      <c r="C155" s="42" t="s">
        <v>49</v>
      </c>
      <c r="D155" s="44">
        <v>46017</v>
      </c>
      <c r="E155" s="44">
        <v>46047</v>
      </c>
      <c r="F155" s="79"/>
      <c r="G155" s="68">
        <v>1600</v>
      </c>
      <c r="H155" s="4">
        <f t="shared" si="10"/>
        <v>31</v>
      </c>
      <c r="I155" s="4" t="s">
        <v>167</v>
      </c>
    </row>
    <row r="156" spans="1:9" ht="36" customHeight="1" x14ac:dyDescent="0.25">
      <c r="A156" s="230"/>
      <c r="B156" s="77" t="s">
        <v>122</v>
      </c>
      <c r="C156" s="42" t="s">
        <v>49</v>
      </c>
      <c r="D156" s="44">
        <v>46019</v>
      </c>
      <c r="E156" s="44">
        <v>46047</v>
      </c>
      <c r="F156" s="79"/>
      <c r="G156" s="68">
        <v>1600</v>
      </c>
      <c r="H156" s="4">
        <f t="shared" si="10"/>
        <v>29</v>
      </c>
      <c r="I156" s="4" t="s">
        <v>168</v>
      </c>
    </row>
    <row r="157" spans="1:9" ht="36" customHeight="1" x14ac:dyDescent="0.25">
      <c r="A157" s="230"/>
      <c r="B157" s="77" t="s">
        <v>122</v>
      </c>
      <c r="C157" s="42" t="s">
        <v>49</v>
      </c>
      <c r="D157" s="44">
        <v>46019</v>
      </c>
      <c r="E157" s="44">
        <v>46047</v>
      </c>
      <c r="F157" s="79"/>
      <c r="G157" s="68">
        <v>1600</v>
      </c>
      <c r="H157" s="4">
        <f t="shared" si="10"/>
        <v>29</v>
      </c>
      <c r="I157" s="4" t="s">
        <v>169</v>
      </c>
    </row>
    <row r="158" spans="1:9" ht="36" customHeight="1" x14ac:dyDescent="0.25">
      <c r="A158" s="230"/>
      <c r="B158" s="77" t="s">
        <v>122</v>
      </c>
      <c r="C158" s="42" t="s">
        <v>49</v>
      </c>
      <c r="D158" s="44">
        <v>46021</v>
      </c>
      <c r="E158" s="44">
        <v>46047</v>
      </c>
      <c r="F158" s="79"/>
      <c r="G158" s="68">
        <v>1600</v>
      </c>
      <c r="H158" s="4">
        <f t="shared" si="10"/>
        <v>27</v>
      </c>
      <c r="I158" s="4" t="s">
        <v>178</v>
      </c>
    </row>
    <row r="159" spans="1:9" ht="36" customHeight="1" x14ac:dyDescent="0.25">
      <c r="A159" s="230"/>
      <c r="B159" s="77" t="s">
        <v>122</v>
      </c>
      <c r="C159" s="42" t="s">
        <v>49</v>
      </c>
      <c r="D159" s="44">
        <v>46022</v>
      </c>
      <c r="E159" s="44">
        <v>46047</v>
      </c>
      <c r="F159" s="79"/>
      <c r="G159" s="68">
        <v>1600</v>
      </c>
      <c r="H159" s="4">
        <f t="shared" si="10"/>
        <v>26</v>
      </c>
      <c r="I159" s="4" t="s">
        <v>169</v>
      </c>
    </row>
    <row r="160" spans="1:9" ht="36" customHeight="1" x14ac:dyDescent="0.25">
      <c r="A160" s="230"/>
      <c r="B160" s="77" t="s">
        <v>122</v>
      </c>
      <c r="C160" s="42" t="s">
        <v>49</v>
      </c>
      <c r="D160" s="44">
        <v>46024</v>
      </c>
      <c r="E160" s="44">
        <v>46047</v>
      </c>
      <c r="F160" s="78"/>
      <c r="G160" s="68">
        <v>400</v>
      </c>
      <c r="H160" s="4">
        <f t="shared" si="10"/>
        <v>24</v>
      </c>
      <c r="I160" s="4" t="s">
        <v>182</v>
      </c>
    </row>
    <row r="161" spans="1:9" ht="36" customHeight="1" x14ac:dyDescent="0.25">
      <c r="A161" s="230"/>
      <c r="B161" s="77" t="s">
        <v>122</v>
      </c>
      <c r="C161" s="42" t="s">
        <v>49</v>
      </c>
      <c r="D161" s="44">
        <v>46028</v>
      </c>
      <c r="E161" s="44">
        <v>46047</v>
      </c>
      <c r="F161" s="79"/>
      <c r="G161" s="68">
        <v>1600</v>
      </c>
      <c r="H161" s="4">
        <f t="shared" si="10"/>
        <v>20</v>
      </c>
      <c r="I161" s="4" t="s">
        <v>189</v>
      </c>
    </row>
    <row r="162" spans="1:9" ht="36" customHeight="1" x14ac:dyDescent="0.25">
      <c r="A162" s="230"/>
      <c r="B162" s="77" t="s">
        <v>122</v>
      </c>
      <c r="C162" s="42" t="s">
        <v>49</v>
      </c>
      <c r="D162" s="44">
        <v>46029</v>
      </c>
      <c r="E162" s="44">
        <v>46047</v>
      </c>
      <c r="F162" s="79"/>
      <c r="G162" s="68">
        <v>800</v>
      </c>
      <c r="H162" s="4">
        <f t="shared" si="10"/>
        <v>19</v>
      </c>
      <c r="I162" s="4" t="s">
        <v>182</v>
      </c>
    </row>
    <row r="163" spans="1:9" ht="36" customHeight="1" x14ac:dyDescent="0.25">
      <c r="A163" s="230"/>
      <c r="B163" s="77" t="s">
        <v>122</v>
      </c>
      <c r="C163" s="42" t="s">
        <v>49</v>
      </c>
      <c r="D163" s="44">
        <v>46032</v>
      </c>
      <c r="E163" s="44">
        <v>46047</v>
      </c>
      <c r="F163" s="79"/>
      <c r="G163" s="68">
        <v>600</v>
      </c>
      <c r="H163" s="4">
        <f t="shared" si="10"/>
        <v>16</v>
      </c>
      <c r="I163" s="4" t="s">
        <v>181</v>
      </c>
    </row>
    <row r="164" spans="1:9" ht="36" customHeight="1" x14ac:dyDescent="0.25">
      <c r="A164" s="230"/>
      <c r="B164" s="77" t="s">
        <v>122</v>
      </c>
      <c r="C164" s="42" t="s">
        <v>49</v>
      </c>
      <c r="D164" s="44">
        <v>46033</v>
      </c>
      <c r="E164" s="44">
        <v>46047</v>
      </c>
      <c r="F164" s="79"/>
      <c r="G164" s="68">
        <v>1600</v>
      </c>
      <c r="H164" s="4">
        <f t="shared" si="10"/>
        <v>15</v>
      </c>
      <c r="I164" s="4" t="s">
        <v>190</v>
      </c>
    </row>
    <row r="165" spans="1:9" ht="36" customHeight="1" x14ac:dyDescent="0.25">
      <c r="A165" s="230"/>
      <c r="B165" s="77" t="s">
        <v>122</v>
      </c>
      <c r="C165" s="42" t="s">
        <v>49</v>
      </c>
      <c r="D165" s="44">
        <v>46034</v>
      </c>
      <c r="E165" s="44">
        <v>46047</v>
      </c>
      <c r="F165" s="79"/>
      <c r="G165" s="68">
        <v>500</v>
      </c>
      <c r="H165" s="4">
        <f t="shared" si="10"/>
        <v>14</v>
      </c>
      <c r="I165" s="4" t="s">
        <v>189</v>
      </c>
    </row>
    <row r="166" spans="1:9" ht="36" customHeight="1" x14ac:dyDescent="0.25">
      <c r="A166" s="230"/>
      <c r="B166" s="77" t="s">
        <v>122</v>
      </c>
      <c r="C166" s="42" t="s">
        <v>49</v>
      </c>
      <c r="D166" s="44">
        <v>46034</v>
      </c>
      <c r="E166" s="44">
        <v>46047</v>
      </c>
      <c r="F166" s="79"/>
      <c r="G166" s="68">
        <v>1700</v>
      </c>
      <c r="H166" s="4">
        <f t="shared" si="10"/>
        <v>14</v>
      </c>
      <c r="I166" s="4" t="s">
        <v>191</v>
      </c>
    </row>
    <row r="167" spans="1:9" ht="36" customHeight="1" x14ac:dyDescent="0.25">
      <c r="A167" s="230"/>
      <c r="B167" s="77" t="s">
        <v>122</v>
      </c>
      <c r="C167" s="42" t="s">
        <v>49</v>
      </c>
      <c r="D167" s="44">
        <v>46041</v>
      </c>
      <c r="E167" s="44">
        <v>46047</v>
      </c>
      <c r="F167" s="79"/>
      <c r="G167" s="68">
        <v>800</v>
      </c>
      <c r="H167" s="4">
        <f t="shared" si="10"/>
        <v>7</v>
      </c>
      <c r="I167" s="4" t="s">
        <v>195</v>
      </c>
    </row>
    <row r="168" spans="1:9" ht="36" customHeight="1" x14ac:dyDescent="0.25">
      <c r="A168" s="230"/>
      <c r="B168" s="77" t="s">
        <v>122</v>
      </c>
      <c r="C168" s="42" t="s">
        <v>49</v>
      </c>
      <c r="D168" s="44">
        <v>46043</v>
      </c>
      <c r="E168" s="44">
        <v>46047</v>
      </c>
      <c r="F168" s="79"/>
      <c r="G168" s="68">
        <v>800</v>
      </c>
      <c r="H168" s="4">
        <f t="shared" si="10"/>
        <v>5</v>
      </c>
      <c r="I168" s="4" t="s">
        <v>190</v>
      </c>
    </row>
    <row r="169" spans="1:9" ht="36" customHeight="1" x14ac:dyDescent="0.25">
      <c r="A169" s="230"/>
      <c r="B169" s="77" t="s">
        <v>122</v>
      </c>
      <c r="C169" s="42" t="s">
        <v>49</v>
      </c>
      <c r="D169" s="44">
        <v>46045</v>
      </c>
      <c r="E169" s="44">
        <v>46047</v>
      </c>
      <c r="F169" s="79"/>
      <c r="G169" s="68">
        <v>800</v>
      </c>
      <c r="H169" s="4">
        <f t="shared" si="10"/>
        <v>3</v>
      </c>
      <c r="I169" s="4" t="s">
        <v>182</v>
      </c>
    </row>
    <row r="170" spans="1:9" ht="36" customHeight="1" x14ac:dyDescent="0.25">
      <c r="A170" s="230"/>
      <c r="B170" s="77" t="s">
        <v>122</v>
      </c>
      <c r="C170" s="42" t="s">
        <v>49</v>
      </c>
      <c r="D170" s="44">
        <v>46045</v>
      </c>
      <c r="E170" s="44">
        <v>46047</v>
      </c>
      <c r="F170" s="79"/>
      <c r="G170" s="68">
        <v>800</v>
      </c>
      <c r="H170" s="4">
        <f t="shared" si="10"/>
        <v>3</v>
      </c>
      <c r="I170" s="4" t="s">
        <v>192</v>
      </c>
    </row>
    <row r="171" spans="1:9" ht="36" customHeight="1" x14ac:dyDescent="0.25">
      <c r="A171" s="230"/>
      <c r="B171" s="77" t="s">
        <v>122</v>
      </c>
      <c r="C171" s="42" t="s">
        <v>49</v>
      </c>
      <c r="D171" s="44">
        <v>46046</v>
      </c>
      <c r="E171" s="44">
        <v>46047</v>
      </c>
      <c r="F171" s="79"/>
      <c r="G171" s="68">
        <v>800</v>
      </c>
      <c r="H171" s="4">
        <f t="shared" si="10"/>
        <v>2</v>
      </c>
      <c r="I171" s="4" t="s">
        <v>184</v>
      </c>
    </row>
    <row r="172" spans="1:9" ht="36" customHeight="1" x14ac:dyDescent="0.25">
      <c r="A172" s="230"/>
      <c r="B172" s="77" t="s">
        <v>122</v>
      </c>
      <c r="C172" s="42" t="s">
        <v>49</v>
      </c>
      <c r="D172" s="44">
        <v>46047</v>
      </c>
      <c r="E172" s="44">
        <v>46047</v>
      </c>
      <c r="F172" s="79"/>
      <c r="G172" s="68">
        <v>1200</v>
      </c>
      <c r="H172" s="4">
        <f t="shared" si="10"/>
        <v>1</v>
      </c>
      <c r="I172" s="4" t="s">
        <v>196</v>
      </c>
    </row>
    <row r="173" spans="1:9" ht="36" customHeight="1" x14ac:dyDescent="0.25">
      <c r="A173" s="225"/>
      <c r="B173" s="226" t="s">
        <v>20</v>
      </c>
      <c r="C173" s="227"/>
      <c r="D173" s="227"/>
      <c r="E173" s="227"/>
      <c r="F173" s="228"/>
      <c r="G173" s="69">
        <f>SUM(G153:G172)</f>
        <v>26000</v>
      </c>
      <c r="H173" s="8"/>
      <c r="I173" s="4"/>
    </row>
    <row r="174" spans="1:9" ht="36" customHeight="1" x14ac:dyDescent="0.25">
      <c r="A174" s="224">
        <v>3</v>
      </c>
      <c r="B174" s="77" t="s">
        <v>118</v>
      </c>
      <c r="C174" s="42" t="s">
        <v>49</v>
      </c>
      <c r="D174" s="44">
        <v>46017</v>
      </c>
      <c r="E174" s="44">
        <v>46047</v>
      </c>
      <c r="F174" s="78">
        <v>1100</v>
      </c>
      <c r="G174" s="68">
        <f>+F174</f>
        <v>1100</v>
      </c>
      <c r="H174" s="4">
        <f t="shared" ref="H174" si="11">E174-D174+1</f>
        <v>31</v>
      </c>
      <c r="I174" s="4"/>
    </row>
    <row r="175" spans="1:9" ht="36" customHeight="1" x14ac:dyDescent="0.25">
      <c r="A175" s="225"/>
      <c r="B175" s="226" t="s">
        <v>20</v>
      </c>
      <c r="C175" s="227"/>
      <c r="D175" s="227"/>
      <c r="E175" s="227"/>
      <c r="F175" s="228"/>
      <c r="G175" s="69">
        <f>SUM(G174:G174)</f>
        <v>1100</v>
      </c>
      <c r="H175" s="8"/>
      <c r="I175" s="4"/>
    </row>
    <row r="176" spans="1:9" ht="36" customHeight="1" x14ac:dyDescent="0.25">
      <c r="A176" s="224">
        <v>4</v>
      </c>
      <c r="B176" s="77" t="s">
        <v>50</v>
      </c>
      <c r="C176" s="42" t="s">
        <v>49</v>
      </c>
      <c r="D176" s="44">
        <v>46017</v>
      </c>
      <c r="E176" s="44">
        <v>46047</v>
      </c>
      <c r="F176" s="78">
        <v>16176</v>
      </c>
      <c r="G176" s="68">
        <f>+F176</f>
        <v>16176</v>
      </c>
      <c r="H176" s="4">
        <f>E176-D176+1</f>
        <v>31</v>
      </c>
      <c r="I176" s="4"/>
    </row>
    <row r="177" spans="1:9" ht="36" customHeight="1" x14ac:dyDescent="0.25">
      <c r="A177" s="230"/>
      <c r="B177" s="77" t="s">
        <v>50</v>
      </c>
      <c r="C177" s="42" t="s">
        <v>49</v>
      </c>
      <c r="D177" s="44">
        <v>46017</v>
      </c>
      <c r="E177" s="44">
        <v>46047</v>
      </c>
      <c r="F177" s="78"/>
      <c r="G177" s="68">
        <v>1200</v>
      </c>
      <c r="H177" s="4">
        <f t="shared" ref="H177:H200" si="12">E177-D177+1</f>
        <v>31</v>
      </c>
      <c r="I177" s="4" t="s">
        <v>165</v>
      </c>
    </row>
    <row r="178" spans="1:9" ht="36" customHeight="1" x14ac:dyDescent="0.25">
      <c r="A178" s="230"/>
      <c r="B178" s="77" t="s">
        <v>50</v>
      </c>
      <c r="C178" s="42" t="s">
        <v>49</v>
      </c>
      <c r="D178" s="44">
        <v>46018</v>
      </c>
      <c r="E178" s="44">
        <v>46047</v>
      </c>
      <c r="F178" s="78"/>
      <c r="G178" s="68">
        <v>1500</v>
      </c>
      <c r="H178" s="4">
        <f t="shared" si="12"/>
        <v>30</v>
      </c>
      <c r="I178" s="4" t="s">
        <v>187</v>
      </c>
    </row>
    <row r="179" spans="1:9" ht="36" customHeight="1" x14ac:dyDescent="0.25">
      <c r="A179" s="230"/>
      <c r="B179" s="77" t="s">
        <v>50</v>
      </c>
      <c r="C179" s="42" t="s">
        <v>49</v>
      </c>
      <c r="D179" s="44">
        <v>46021</v>
      </c>
      <c r="E179" s="44">
        <v>46047</v>
      </c>
      <c r="F179" s="78"/>
      <c r="G179" s="68">
        <v>1500</v>
      </c>
      <c r="H179" s="4">
        <f t="shared" si="12"/>
        <v>27</v>
      </c>
      <c r="I179" s="4" t="s">
        <v>179</v>
      </c>
    </row>
    <row r="180" spans="1:9" ht="36" customHeight="1" x14ac:dyDescent="0.25">
      <c r="A180" s="230"/>
      <c r="B180" s="77" t="s">
        <v>50</v>
      </c>
      <c r="C180" s="42" t="s">
        <v>49</v>
      </c>
      <c r="D180" s="44">
        <v>46021</v>
      </c>
      <c r="E180" s="44">
        <v>46047</v>
      </c>
      <c r="F180" s="78"/>
      <c r="G180" s="68">
        <v>1400</v>
      </c>
      <c r="H180" s="4">
        <f t="shared" si="12"/>
        <v>27</v>
      </c>
      <c r="I180" s="4" t="s">
        <v>170</v>
      </c>
    </row>
    <row r="181" spans="1:9" ht="36" customHeight="1" x14ac:dyDescent="0.25">
      <c r="A181" s="230"/>
      <c r="B181" s="77" t="s">
        <v>50</v>
      </c>
      <c r="C181" s="42" t="s">
        <v>49</v>
      </c>
      <c r="D181" s="44">
        <v>46022</v>
      </c>
      <c r="E181" s="44">
        <v>46047</v>
      </c>
      <c r="F181" s="78"/>
      <c r="G181" s="68">
        <v>1500</v>
      </c>
      <c r="H181" s="4">
        <f t="shared" si="12"/>
        <v>26</v>
      </c>
      <c r="I181" s="4" t="s">
        <v>180</v>
      </c>
    </row>
    <row r="182" spans="1:9" ht="36" customHeight="1" x14ac:dyDescent="0.25">
      <c r="A182" s="230"/>
      <c r="B182" s="77" t="s">
        <v>50</v>
      </c>
      <c r="C182" s="42" t="s">
        <v>49</v>
      </c>
      <c r="D182" s="44">
        <v>46022</v>
      </c>
      <c r="E182" s="44">
        <v>46047</v>
      </c>
      <c r="F182" s="78"/>
      <c r="G182" s="68">
        <v>1700</v>
      </c>
      <c r="H182" s="4">
        <f t="shared" si="12"/>
        <v>26</v>
      </c>
      <c r="I182" s="4" t="s">
        <v>181</v>
      </c>
    </row>
    <row r="183" spans="1:9" ht="36" customHeight="1" x14ac:dyDescent="0.25">
      <c r="A183" s="230"/>
      <c r="B183" s="77" t="s">
        <v>50</v>
      </c>
      <c r="C183" s="42" t="s">
        <v>49</v>
      </c>
      <c r="D183" s="44">
        <v>46024</v>
      </c>
      <c r="E183" s="44">
        <v>46047</v>
      </c>
      <c r="F183" s="78"/>
      <c r="G183" s="68">
        <v>500</v>
      </c>
      <c r="H183" s="4">
        <f t="shared" si="12"/>
        <v>24</v>
      </c>
      <c r="I183" s="4" t="s">
        <v>182</v>
      </c>
    </row>
    <row r="184" spans="1:9" ht="36" customHeight="1" x14ac:dyDescent="0.25">
      <c r="A184" s="230"/>
      <c r="B184" s="77" t="s">
        <v>50</v>
      </c>
      <c r="C184" s="42" t="s">
        <v>49</v>
      </c>
      <c r="D184" s="44">
        <v>46024</v>
      </c>
      <c r="E184" s="44">
        <v>46047</v>
      </c>
      <c r="F184" s="78"/>
      <c r="G184" s="68">
        <v>1500</v>
      </c>
      <c r="H184" s="4">
        <f t="shared" si="12"/>
        <v>24</v>
      </c>
      <c r="I184" s="4" t="s">
        <v>180</v>
      </c>
    </row>
    <row r="185" spans="1:9" ht="36" customHeight="1" x14ac:dyDescent="0.25">
      <c r="A185" s="230"/>
      <c r="B185" s="77" t="s">
        <v>50</v>
      </c>
      <c r="C185" s="42" t="s">
        <v>49</v>
      </c>
      <c r="D185" s="44">
        <v>46025</v>
      </c>
      <c r="E185" s="44">
        <v>46047</v>
      </c>
      <c r="F185" s="78"/>
      <c r="G185" s="68">
        <v>1771</v>
      </c>
      <c r="H185" s="4">
        <f t="shared" si="12"/>
        <v>23</v>
      </c>
      <c r="I185" s="4" t="s">
        <v>184</v>
      </c>
    </row>
    <row r="186" spans="1:9" ht="36" customHeight="1" x14ac:dyDescent="0.25">
      <c r="A186" s="230"/>
      <c r="B186" s="77" t="s">
        <v>50</v>
      </c>
      <c r="C186" s="42" t="s">
        <v>49</v>
      </c>
      <c r="D186" s="44">
        <v>46025</v>
      </c>
      <c r="E186" s="44">
        <v>46047</v>
      </c>
      <c r="F186" s="78"/>
      <c r="G186" s="68">
        <v>2000</v>
      </c>
      <c r="H186" s="4">
        <f t="shared" si="12"/>
        <v>23</v>
      </c>
      <c r="I186" s="4" t="s">
        <v>183</v>
      </c>
    </row>
    <row r="187" spans="1:9" ht="36" customHeight="1" x14ac:dyDescent="0.25">
      <c r="A187" s="230"/>
      <c r="B187" s="77" t="s">
        <v>50</v>
      </c>
      <c r="C187" s="42" t="s">
        <v>49</v>
      </c>
      <c r="D187" s="44">
        <v>46026</v>
      </c>
      <c r="E187" s="44">
        <v>46047</v>
      </c>
      <c r="F187" s="78"/>
      <c r="G187" s="68">
        <v>1400</v>
      </c>
      <c r="H187" s="4">
        <f t="shared" si="12"/>
        <v>22</v>
      </c>
      <c r="I187" s="4" t="s">
        <v>185</v>
      </c>
    </row>
    <row r="188" spans="1:9" ht="36" customHeight="1" x14ac:dyDescent="0.25">
      <c r="A188" s="230"/>
      <c r="B188" s="77" t="s">
        <v>50</v>
      </c>
      <c r="C188" s="42" t="s">
        <v>49</v>
      </c>
      <c r="D188" s="44">
        <v>46026</v>
      </c>
      <c r="E188" s="44">
        <v>46047</v>
      </c>
      <c r="F188" s="78"/>
      <c r="G188" s="68">
        <v>2000</v>
      </c>
      <c r="H188" s="4">
        <f t="shared" si="12"/>
        <v>22</v>
      </c>
      <c r="I188" s="4" t="s">
        <v>186</v>
      </c>
    </row>
    <row r="189" spans="1:9" ht="36" customHeight="1" x14ac:dyDescent="0.25">
      <c r="A189" s="230"/>
      <c r="B189" s="77" t="s">
        <v>50</v>
      </c>
      <c r="C189" s="42" t="s">
        <v>49</v>
      </c>
      <c r="D189" s="44">
        <v>46028</v>
      </c>
      <c r="E189" s="44">
        <v>46047</v>
      </c>
      <c r="F189" s="78"/>
      <c r="G189" s="68">
        <v>1700</v>
      </c>
      <c r="H189" s="4">
        <f t="shared" si="12"/>
        <v>20</v>
      </c>
      <c r="I189" s="4" t="s">
        <v>188</v>
      </c>
    </row>
    <row r="190" spans="1:9" ht="36" customHeight="1" x14ac:dyDescent="0.25">
      <c r="A190" s="230"/>
      <c r="B190" s="77" t="s">
        <v>50</v>
      </c>
      <c r="C190" s="42" t="s">
        <v>49</v>
      </c>
      <c r="D190" s="44">
        <v>46029</v>
      </c>
      <c r="E190" s="44">
        <v>46047</v>
      </c>
      <c r="F190" s="78"/>
      <c r="G190" s="68">
        <v>600</v>
      </c>
      <c r="H190" s="4">
        <f t="shared" si="12"/>
        <v>19</v>
      </c>
      <c r="I190" s="4" t="s">
        <v>182</v>
      </c>
    </row>
    <row r="191" spans="1:9" ht="36" customHeight="1" x14ac:dyDescent="0.25">
      <c r="A191" s="230"/>
      <c r="B191" s="77" t="s">
        <v>50</v>
      </c>
      <c r="C191" s="42" t="s">
        <v>49</v>
      </c>
      <c r="D191" s="44">
        <v>46032</v>
      </c>
      <c r="E191" s="44">
        <v>46047</v>
      </c>
      <c r="F191" s="78"/>
      <c r="G191" s="68">
        <v>1100</v>
      </c>
      <c r="H191" s="4">
        <f t="shared" si="12"/>
        <v>16</v>
      </c>
      <c r="I191" s="4" t="s">
        <v>181</v>
      </c>
    </row>
    <row r="192" spans="1:9" ht="36" customHeight="1" x14ac:dyDescent="0.25">
      <c r="A192" s="230"/>
      <c r="B192" s="77" t="s">
        <v>50</v>
      </c>
      <c r="C192" s="42" t="s">
        <v>49</v>
      </c>
      <c r="D192" s="44">
        <v>46034</v>
      </c>
      <c r="E192" s="44">
        <v>46047</v>
      </c>
      <c r="F192" s="78"/>
      <c r="G192" s="68">
        <v>700</v>
      </c>
      <c r="H192" s="4">
        <f t="shared" si="12"/>
        <v>14</v>
      </c>
      <c r="I192" s="4" t="s">
        <v>189</v>
      </c>
    </row>
    <row r="193" spans="1:13" ht="36" customHeight="1" x14ac:dyDescent="0.25">
      <c r="A193" s="230"/>
      <c r="B193" s="77" t="s">
        <v>50</v>
      </c>
      <c r="C193" s="42" t="s">
        <v>49</v>
      </c>
      <c r="D193" s="44">
        <v>46035</v>
      </c>
      <c r="E193" s="44">
        <v>46047</v>
      </c>
      <c r="F193" s="78"/>
      <c r="G193" s="68">
        <v>1000</v>
      </c>
      <c r="H193" s="4">
        <f t="shared" si="12"/>
        <v>13</v>
      </c>
      <c r="I193" s="4" t="s">
        <v>192</v>
      </c>
    </row>
    <row r="194" spans="1:13" ht="36" customHeight="1" x14ac:dyDescent="0.25">
      <c r="A194" s="230"/>
      <c r="B194" s="77" t="s">
        <v>50</v>
      </c>
      <c r="C194" s="42" t="s">
        <v>49</v>
      </c>
      <c r="D194" s="44">
        <v>46038</v>
      </c>
      <c r="E194" s="44">
        <v>46047</v>
      </c>
      <c r="F194" s="78"/>
      <c r="G194" s="68">
        <v>1700</v>
      </c>
      <c r="H194" s="4">
        <f t="shared" si="12"/>
        <v>10</v>
      </c>
      <c r="I194" s="4" t="s">
        <v>194</v>
      </c>
    </row>
    <row r="195" spans="1:13" ht="36" customHeight="1" x14ac:dyDescent="0.25">
      <c r="A195" s="230"/>
      <c r="B195" s="77" t="s">
        <v>50</v>
      </c>
      <c r="C195" s="42" t="s">
        <v>49</v>
      </c>
      <c r="D195" s="44">
        <v>46041</v>
      </c>
      <c r="E195" s="44">
        <v>46047</v>
      </c>
      <c r="F195" s="78"/>
      <c r="G195" s="68">
        <v>1200</v>
      </c>
      <c r="H195" s="4">
        <f t="shared" si="12"/>
        <v>7</v>
      </c>
      <c r="I195" s="4" t="s">
        <v>195</v>
      </c>
    </row>
    <row r="196" spans="1:13" ht="36" customHeight="1" x14ac:dyDescent="0.25">
      <c r="A196" s="230"/>
      <c r="B196" s="77" t="s">
        <v>50</v>
      </c>
      <c r="C196" s="42" t="s">
        <v>49</v>
      </c>
      <c r="D196" s="44">
        <v>46043</v>
      </c>
      <c r="E196" s="44">
        <v>46047</v>
      </c>
      <c r="F196" s="78"/>
      <c r="G196" s="68">
        <v>1200</v>
      </c>
      <c r="H196" s="4">
        <f t="shared" si="12"/>
        <v>5</v>
      </c>
      <c r="I196" s="4" t="s">
        <v>190</v>
      </c>
    </row>
    <row r="197" spans="1:13" ht="36" customHeight="1" x14ac:dyDescent="0.25">
      <c r="A197" s="230"/>
      <c r="B197" s="77" t="s">
        <v>50</v>
      </c>
      <c r="C197" s="42" t="s">
        <v>49</v>
      </c>
      <c r="D197" s="44">
        <v>46045</v>
      </c>
      <c r="E197" s="44">
        <v>46047</v>
      </c>
      <c r="F197" s="78"/>
      <c r="G197" s="68">
        <v>1200</v>
      </c>
      <c r="H197" s="4">
        <f t="shared" si="12"/>
        <v>3</v>
      </c>
      <c r="I197" s="4" t="s">
        <v>182</v>
      </c>
    </row>
    <row r="198" spans="1:13" ht="36" customHeight="1" x14ac:dyDescent="0.25">
      <c r="A198" s="230"/>
      <c r="B198" s="77" t="s">
        <v>50</v>
      </c>
      <c r="C198" s="42" t="s">
        <v>49</v>
      </c>
      <c r="D198" s="44">
        <v>46045</v>
      </c>
      <c r="E198" s="44">
        <v>46047</v>
      </c>
      <c r="F198" s="78"/>
      <c r="G198" s="68">
        <v>1200</v>
      </c>
      <c r="H198" s="4">
        <f t="shared" si="12"/>
        <v>3</v>
      </c>
      <c r="I198" s="4" t="s">
        <v>192</v>
      </c>
    </row>
    <row r="199" spans="1:13" ht="36" customHeight="1" x14ac:dyDescent="0.25">
      <c r="A199" s="230"/>
      <c r="B199" s="77" t="s">
        <v>50</v>
      </c>
      <c r="C199" s="42" t="s">
        <v>49</v>
      </c>
      <c r="D199" s="44">
        <v>46046</v>
      </c>
      <c r="E199" s="44">
        <v>46047</v>
      </c>
      <c r="F199" s="78"/>
      <c r="G199" s="68">
        <v>2400</v>
      </c>
      <c r="H199" s="4">
        <f t="shared" si="12"/>
        <v>2</v>
      </c>
      <c r="I199" s="4" t="s">
        <v>184</v>
      </c>
    </row>
    <row r="200" spans="1:13" ht="36" customHeight="1" x14ac:dyDescent="0.25">
      <c r="A200" s="230"/>
      <c r="B200" s="77" t="s">
        <v>50</v>
      </c>
      <c r="C200" s="42" t="s">
        <v>49</v>
      </c>
      <c r="D200" s="44">
        <v>46047</v>
      </c>
      <c r="E200" s="44">
        <v>46047</v>
      </c>
      <c r="F200" s="78"/>
      <c r="G200" s="68">
        <v>1100</v>
      </c>
      <c r="H200" s="4">
        <f t="shared" si="12"/>
        <v>1</v>
      </c>
      <c r="I200" s="4" t="s">
        <v>196</v>
      </c>
    </row>
    <row r="201" spans="1:13" ht="36" customHeight="1" x14ac:dyDescent="0.25">
      <c r="A201" s="225"/>
      <c r="B201" s="211" t="s">
        <v>20</v>
      </c>
      <c r="C201" s="211"/>
      <c r="D201" s="211"/>
      <c r="E201" s="211"/>
      <c r="F201" s="211"/>
      <c r="G201" s="83">
        <f>SUM(G176:G200)</f>
        <v>49247</v>
      </c>
      <c r="H201" s="8"/>
      <c r="I201" s="4"/>
      <c r="K201" s="1">
        <v>42276</v>
      </c>
      <c r="L201" s="1">
        <v>6971</v>
      </c>
      <c r="M201" s="1">
        <f>+K201+L201</f>
        <v>49247</v>
      </c>
    </row>
    <row r="202" spans="1:13" ht="36" customHeight="1" x14ac:dyDescent="0.25">
      <c r="A202" s="224">
        <v>5</v>
      </c>
      <c r="B202" s="77" t="s">
        <v>126</v>
      </c>
      <c r="C202" s="42" t="s">
        <v>24</v>
      </c>
      <c r="D202" s="44">
        <v>46017</v>
      </c>
      <c r="E202" s="44">
        <v>46047</v>
      </c>
      <c r="F202" s="78">
        <v>16500</v>
      </c>
      <c r="G202" s="68">
        <f>+F202</f>
        <v>16500</v>
      </c>
      <c r="H202" s="4">
        <f t="shared" ref="H202:H209" si="13">E202-D202+1</f>
        <v>31</v>
      </c>
      <c r="I202" s="4"/>
    </row>
    <row r="203" spans="1:13" ht="36" customHeight="1" x14ac:dyDescent="0.25">
      <c r="A203" s="230"/>
      <c r="B203" s="77" t="s">
        <v>126</v>
      </c>
      <c r="C203" s="42" t="s">
        <v>24</v>
      </c>
      <c r="D203" s="44">
        <v>46017</v>
      </c>
      <c r="E203" s="44">
        <v>46047</v>
      </c>
      <c r="F203" s="79"/>
      <c r="G203" s="68">
        <v>2000</v>
      </c>
      <c r="H203" s="4">
        <f t="shared" si="13"/>
        <v>31</v>
      </c>
      <c r="I203" s="4" t="s">
        <v>167</v>
      </c>
    </row>
    <row r="204" spans="1:13" ht="36" customHeight="1" x14ac:dyDescent="0.25">
      <c r="A204" s="230"/>
      <c r="B204" s="77" t="s">
        <v>126</v>
      </c>
      <c r="C204" s="42" t="s">
        <v>24</v>
      </c>
      <c r="D204" s="44">
        <v>46019</v>
      </c>
      <c r="E204" s="44">
        <v>46047</v>
      </c>
      <c r="F204" s="79"/>
      <c r="G204" s="68">
        <v>2000</v>
      </c>
      <c r="H204" s="4">
        <f t="shared" si="13"/>
        <v>29</v>
      </c>
      <c r="I204" s="4" t="s">
        <v>168</v>
      </c>
    </row>
    <row r="205" spans="1:13" ht="36" customHeight="1" x14ac:dyDescent="0.25">
      <c r="A205" s="230"/>
      <c r="B205" s="77" t="s">
        <v>126</v>
      </c>
      <c r="C205" s="42" t="s">
        <v>24</v>
      </c>
      <c r="D205" s="44">
        <v>46019</v>
      </c>
      <c r="E205" s="44">
        <v>46047</v>
      </c>
      <c r="F205" s="79"/>
      <c r="G205" s="68">
        <v>2000</v>
      </c>
      <c r="H205" s="4">
        <f t="shared" si="13"/>
        <v>29</v>
      </c>
      <c r="I205" s="4" t="s">
        <v>169</v>
      </c>
    </row>
    <row r="206" spans="1:13" ht="36" customHeight="1" x14ac:dyDescent="0.25">
      <c r="A206" s="230"/>
      <c r="B206" s="77" t="s">
        <v>126</v>
      </c>
      <c r="C206" s="42" t="s">
        <v>24</v>
      </c>
      <c r="D206" s="44">
        <v>46021</v>
      </c>
      <c r="E206" s="44">
        <v>46047</v>
      </c>
      <c r="F206" s="79"/>
      <c r="G206" s="68">
        <v>2000</v>
      </c>
      <c r="H206" s="4">
        <f t="shared" si="13"/>
        <v>27</v>
      </c>
      <c r="I206" s="4" t="s">
        <v>178</v>
      </c>
    </row>
    <row r="207" spans="1:13" ht="36" customHeight="1" x14ac:dyDescent="0.25">
      <c r="A207" s="230"/>
      <c r="B207" s="77" t="s">
        <v>126</v>
      </c>
      <c r="C207" s="42" t="s">
        <v>24</v>
      </c>
      <c r="D207" s="44">
        <v>46022</v>
      </c>
      <c r="E207" s="44">
        <v>46047</v>
      </c>
      <c r="F207" s="79"/>
      <c r="G207" s="68">
        <v>2000</v>
      </c>
      <c r="H207" s="4">
        <f t="shared" si="13"/>
        <v>26</v>
      </c>
      <c r="I207" s="4" t="s">
        <v>169</v>
      </c>
    </row>
    <row r="208" spans="1:13" ht="36" customHeight="1" x14ac:dyDescent="0.25">
      <c r="A208" s="230"/>
      <c r="B208" s="77" t="s">
        <v>126</v>
      </c>
      <c r="C208" s="42" t="s">
        <v>24</v>
      </c>
      <c r="D208" s="44">
        <v>46024</v>
      </c>
      <c r="E208" s="44">
        <v>46047</v>
      </c>
      <c r="F208" s="79"/>
      <c r="G208" s="68">
        <v>3000</v>
      </c>
      <c r="H208" s="4">
        <f t="shared" si="13"/>
        <v>24</v>
      </c>
      <c r="I208" s="4" t="s">
        <v>182</v>
      </c>
    </row>
    <row r="209" spans="1:9" ht="36" customHeight="1" x14ac:dyDescent="0.25">
      <c r="A209" s="230"/>
      <c r="B209" s="77" t="s">
        <v>126</v>
      </c>
      <c r="C209" s="42" t="s">
        <v>24</v>
      </c>
      <c r="D209" s="44">
        <v>46028</v>
      </c>
      <c r="E209" s="44">
        <v>46047</v>
      </c>
      <c r="F209" s="79"/>
      <c r="G209" s="68">
        <v>2000</v>
      </c>
      <c r="H209" s="4">
        <f t="shared" si="13"/>
        <v>20</v>
      </c>
      <c r="I209" s="4" t="s">
        <v>189</v>
      </c>
    </row>
    <row r="210" spans="1:9" ht="36" customHeight="1" x14ac:dyDescent="0.25">
      <c r="A210" s="225"/>
      <c r="B210" s="226" t="s">
        <v>20</v>
      </c>
      <c r="C210" s="227"/>
      <c r="D210" s="227"/>
      <c r="E210" s="227"/>
      <c r="F210" s="228"/>
      <c r="G210" s="69">
        <f>SUM(G202:G209)</f>
        <v>31500</v>
      </c>
      <c r="H210" s="8"/>
      <c r="I210" s="4"/>
    </row>
    <row r="211" spans="1:9" ht="36" customHeight="1" x14ac:dyDescent="0.25">
      <c r="A211" s="224">
        <v>6</v>
      </c>
      <c r="B211" s="77" t="s">
        <v>149</v>
      </c>
      <c r="C211" s="42" t="s">
        <v>24</v>
      </c>
      <c r="D211" s="44">
        <v>46017</v>
      </c>
      <c r="E211" s="44">
        <v>46047</v>
      </c>
      <c r="F211" s="78">
        <v>11160</v>
      </c>
      <c r="G211" s="68">
        <f>+F211</f>
        <v>11160</v>
      </c>
      <c r="H211" s="4">
        <f t="shared" ref="H211:H218" si="14">E211-D211+1</f>
        <v>31</v>
      </c>
      <c r="I211" s="4"/>
    </row>
    <row r="212" spans="1:9" ht="36" customHeight="1" x14ac:dyDescent="0.25">
      <c r="A212" s="230"/>
      <c r="B212" s="77" t="s">
        <v>149</v>
      </c>
      <c r="C212" s="42" t="s">
        <v>24</v>
      </c>
      <c r="D212" s="44">
        <v>46026</v>
      </c>
      <c r="E212" s="44">
        <v>46047</v>
      </c>
      <c r="F212" s="79"/>
      <c r="G212" s="68">
        <v>280</v>
      </c>
      <c r="H212" s="4">
        <f t="shared" si="14"/>
        <v>22</v>
      </c>
      <c r="I212" s="4" t="s">
        <v>185</v>
      </c>
    </row>
    <row r="213" spans="1:9" ht="36" customHeight="1" x14ac:dyDescent="0.25">
      <c r="A213" s="230"/>
      <c r="B213" s="77" t="s">
        <v>149</v>
      </c>
      <c r="C213" s="42" t="s">
        <v>24</v>
      </c>
      <c r="D213" s="44">
        <v>46026</v>
      </c>
      <c r="E213" s="44">
        <v>46047</v>
      </c>
      <c r="F213" s="79"/>
      <c r="G213" s="68">
        <v>400</v>
      </c>
      <c r="H213" s="4">
        <f t="shared" si="14"/>
        <v>22</v>
      </c>
      <c r="I213" s="4" t="s">
        <v>186</v>
      </c>
    </row>
    <row r="214" spans="1:9" ht="36" customHeight="1" x14ac:dyDescent="0.25">
      <c r="A214" s="230"/>
      <c r="B214" s="77" t="s">
        <v>149</v>
      </c>
      <c r="C214" s="42" t="s">
        <v>24</v>
      </c>
      <c r="D214" s="44">
        <v>46028</v>
      </c>
      <c r="E214" s="44">
        <v>46047</v>
      </c>
      <c r="F214" s="79"/>
      <c r="G214" s="70">
        <v>1600</v>
      </c>
      <c r="H214" s="4">
        <f t="shared" si="14"/>
        <v>20</v>
      </c>
      <c r="I214" s="4" t="s">
        <v>188</v>
      </c>
    </row>
    <row r="215" spans="1:9" ht="36" customHeight="1" x14ac:dyDescent="0.25">
      <c r="A215" s="230"/>
      <c r="B215" s="77" t="s">
        <v>149</v>
      </c>
      <c r="C215" s="42" t="s">
        <v>24</v>
      </c>
      <c r="D215" s="44">
        <v>46034</v>
      </c>
      <c r="E215" s="44">
        <v>46047</v>
      </c>
      <c r="F215" s="78"/>
      <c r="G215" s="68">
        <v>400</v>
      </c>
      <c r="H215" s="4">
        <f t="shared" si="14"/>
        <v>14</v>
      </c>
      <c r="I215" s="4" t="s">
        <v>189</v>
      </c>
    </row>
    <row r="216" spans="1:9" ht="36" customHeight="1" x14ac:dyDescent="0.25">
      <c r="A216" s="230"/>
      <c r="B216" s="77" t="s">
        <v>149</v>
      </c>
      <c r="C216" s="42" t="s">
        <v>24</v>
      </c>
      <c r="D216" s="44">
        <v>46034</v>
      </c>
      <c r="E216" s="44">
        <v>46047</v>
      </c>
      <c r="F216" s="78"/>
      <c r="G216" s="68">
        <v>2400</v>
      </c>
      <c r="H216" s="4">
        <f t="shared" si="14"/>
        <v>14</v>
      </c>
      <c r="I216" s="4" t="s">
        <v>191</v>
      </c>
    </row>
    <row r="217" spans="1:9" ht="36" customHeight="1" x14ac:dyDescent="0.25">
      <c r="A217" s="230"/>
      <c r="B217" s="77" t="s">
        <v>149</v>
      </c>
      <c r="C217" s="42" t="s">
        <v>24</v>
      </c>
      <c r="D217" s="44">
        <v>46045</v>
      </c>
      <c r="E217" s="44">
        <v>46047</v>
      </c>
      <c r="F217" s="81"/>
      <c r="G217" s="68">
        <v>1200</v>
      </c>
      <c r="H217" s="4">
        <f t="shared" si="14"/>
        <v>3</v>
      </c>
      <c r="I217" s="4" t="s">
        <v>182</v>
      </c>
    </row>
    <row r="218" spans="1:9" ht="36" customHeight="1" x14ac:dyDescent="0.25">
      <c r="A218" s="230"/>
      <c r="B218" s="77" t="s">
        <v>149</v>
      </c>
      <c r="C218" s="42" t="s">
        <v>24</v>
      </c>
      <c r="D218" s="44">
        <v>46045</v>
      </c>
      <c r="E218" s="44">
        <v>46047</v>
      </c>
      <c r="F218" s="81"/>
      <c r="G218" s="68">
        <v>3600</v>
      </c>
      <c r="H218" s="4">
        <f t="shared" si="14"/>
        <v>3</v>
      </c>
      <c r="I218" s="4" t="s">
        <v>192</v>
      </c>
    </row>
    <row r="219" spans="1:9" ht="36" customHeight="1" x14ac:dyDescent="0.25">
      <c r="A219" s="225"/>
      <c r="B219" s="226" t="s">
        <v>20</v>
      </c>
      <c r="C219" s="227"/>
      <c r="D219" s="227"/>
      <c r="E219" s="227"/>
      <c r="F219" s="228"/>
      <c r="G219" s="69">
        <f>SUM(G211:G218)</f>
        <v>21040</v>
      </c>
      <c r="H219" s="8"/>
      <c r="I219" s="4"/>
    </row>
    <row r="220" spans="1:9" ht="36" customHeight="1" x14ac:dyDescent="0.25">
      <c r="A220" s="224">
        <v>7</v>
      </c>
      <c r="B220" s="77" t="s">
        <v>0</v>
      </c>
      <c r="C220" s="42" t="s">
        <v>24</v>
      </c>
      <c r="D220" s="44">
        <v>46017</v>
      </c>
      <c r="E220" s="44">
        <v>46047</v>
      </c>
      <c r="F220" s="78">
        <v>60715</v>
      </c>
      <c r="G220" s="68">
        <f>+F220</f>
        <v>60715</v>
      </c>
      <c r="H220" s="4">
        <f t="shared" ref="H220:H254" si="15">E220-D220+1</f>
        <v>31</v>
      </c>
      <c r="I220" s="4"/>
    </row>
    <row r="221" spans="1:9" ht="36" customHeight="1" x14ac:dyDescent="0.25">
      <c r="A221" s="230"/>
      <c r="B221" s="77" t="s">
        <v>0</v>
      </c>
      <c r="C221" s="42" t="s">
        <v>24</v>
      </c>
      <c r="D221" s="44">
        <v>46017</v>
      </c>
      <c r="E221" s="44">
        <v>46047</v>
      </c>
      <c r="F221" s="78"/>
      <c r="G221" s="68">
        <v>9480</v>
      </c>
      <c r="H221" s="4">
        <f t="shared" si="15"/>
        <v>31</v>
      </c>
      <c r="I221" s="4" t="s">
        <v>164</v>
      </c>
    </row>
    <row r="222" spans="1:9" ht="36" customHeight="1" x14ac:dyDescent="0.25">
      <c r="A222" s="230"/>
      <c r="B222" s="77" t="s">
        <v>0</v>
      </c>
      <c r="C222" s="42" t="s">
        <v>24</v>
      </c>
      <c r="D222" s="44">
        <v>46017</v>
      </c>
      <c r="E222" s="44">
        <v>46047</v>
      </c>
      <c r="F222" s="78"/>
      <c r="G222" s="68">
        <v>3994</v>
      </c>
      <c r="H222" s="4">
        <f t="shared" si="15"/>
        <v>31</v>
      </c>
      <c r="I222" s="4" t="s">
        <v>165</v>
      </c>
    </row>
    <row r="223" spans="1:9" ht="36" customHeight="1" x14ac:dyDescent="0.25">
      <c r="A223" s="230"/>
      <c r="B223" s="77" t="s">
        <v>0</v>
      </c>
      <c r="C223" s="42" t="s">
        <v>24</v>
      </c>
      <c r="D223" s="44">
        <v>46017</v>
      </c>
      <c r="E223" s="44">
        <v>46047</v>
      </c>
      <c r="F223" s="78"/>
      <c r="G223" s="68">
        <v>3696</v>
      </c>
      <c r="H223" s="4">
        <f t="shared" si="15"/>
        <v>31</v>
      </c>
      <c r="I223" s="4" t="s">
        <v>167</v>
      </c>
    </row>
    <row r="224" spans="1:9" ht="36" customHeight="1" x14ac:dyDescent="0.25">
      <c r="A224" s="230"/>
      <c r="B224" s="77" t="s">
        <v>0</v>
      </c>
      <c r="C224" s="42" t="s">
        <v>24</v>
      </c>
      <c r="D224" s="44">
        <v>46017</v>
      </c>
      <c r="E224" s="44">
        <v>46047</v>
      </c>
      <c r="F224" s="78"/>
      <c r="G224" s="68">
        <v>3696</v>
      </c>
      <c r="H224" s="4">
        <f t="shared" si="15"/>
        <v>31</v>
      </c>
      <c r="I224" s="4" t="s">
        <v>166</v>
      </c>
    </row>
    <row r="225" spans="1:9" ht="36" customHeight="1" x14ac:dyDescent="0.25">
      <c r="A225" s="230"/>
      <c r="B225" s="77" t="s">
        <v>0</v>
      </c>
      <c r="C225" s="42" t="s">
        <v>24</v>
      </c>
      <c r="D225" s="44">
        <v>46018</v>
      </c>
      <c r="E225" s="44">
        <v>46047</v>
      </c>
      <c r="F225" s="78"/>
      <c r="G225" s="68">
        <v>5000</v>
      </c>
      <c r="H225" s="4">
        <f t="shared" si="15"/>
        <v>30</v>
      </c>
      <c r="I225" s="4" t="s">
        <v>187</v>
      </c>
    </row>
    <row r="226" spans="1:9" ht="36" customHeight="1" x14ac:dyDescent="0.25">
      <c r="A226" s="230"/>
      <c r="B226" s="77" t="s">
        <v>0</v>
      </c>
      <c r="C226" s="42" t="s">
        <v>24</v>
      </c>
      <c r="D226" s="44">
        <v>46019</v>
      </c>
      <c r="E226" s="44">
        <v>46047</v>
      </c>
      <c r="F226" s="78"/>
      <c r="G226" s="68">
        <v>3696</v>
      </c>
      <c r="H226" s="4">
        <f t="shared" si="15"/>
        <v>29</v>
      </c>
      <c r="I226" s="4" t="s">
        <v>168</v>
      </c>
    </row>
    <row r="227" spans="1:9" ht="36" customHeight="1" x14ac:dyDescent="0.25">
      <c r="A227" s="230"/>
      <c r="B227" s="77" t="s">
        <v>0</v>
      </c>
      <c r="C227" s="42" t="s">
        <v>24</v>
      </c>
      <c r="D227" s="44">
        <v>46019</v>
      </c>
      <c r="E227" s="44">
        <v>46047</v>
      </c>
      <c r="F227" s="78"/>
      <c r="G227" s="68">
        <v>3696</v>
      </c>
      <c r="H227" s="4">
        <f t="shared" si="15"/>
        <v>29</v>
      </c>
      <c r="I227" s="4" t="s">
        <v>169</v>
      </c>
    </row>
    <row r="228" spans="1:9" ht="36" customHeight="1" x14ac:dyDescent="0.25">
      <c r="A228" s="230"/>
      <c r="B228" s="77" t="s">
        <v>0</v>
      </c>
      <c r="C228" s="42" t="s">
        <v>24</v>
      </c>
      <c r="D228" s="44">
        <v>46021</v>
      </c>
      <c r="E228" s="44">
        <v>46047</v>
      </c>
      <c r="F228" s="78"/>
      <c r="G228" s="68">
        <v>5000</v>
      </c>
      <c r="H228" s="4">
        <f t="shared" si="15"/>
        <v>27</v>
      </c>
      <c r="I228" s="4" t="s">
        <v>179</v>
      </c>
    </row>
    <row r="229" spans="1:9" ht="36" customHeight="1" x14ac:dyDescent="0.25">
      <c r="A229" s="230"/>
      <c r="B229" s="77" t="s">
        <v>0</v>
      </c>
      <c r="C229" s="42" t="s">
        <v>24</v>
      </c>
      <c r="D229" s="44">
        <v>46021</v>
      </c>
      <c r="E229" s="44">
        <v>46047</v>
      </c>
      <c r="F229" s="78"/>
      <c r="G229" s="68">
        <v>3696</v>
      </c>
      <c r="H229" s="4">
        <f t="shared" si="15"/>
        <v>27</v>
      </c>
      <c r="I229" s="4" t="s">
        <v>170</v>
      </c>
    </row>
    <row r="230" spans="1:9" ht="36" customHeight="1" x14ac:dyDescent="0.25">
      <c r="A230" s="230"/>
      <c r="B230" s="77" t="s">
        <v>0</v>
      </c>
      <c r="C230" s="42" t="s">
        <v>24</v>
      </c>
      <c r="D230" s="44">
        <v>46021</v>
      </c>
      <c r="E230" s="44">
        <v>46047</v>
      </c>
      <c r="F230" s="78"/>
      <c r="G230" s="68">
        <v>3696</v>
      </c>
      <c r="H230" s="4">
        <f t="shared" si="15"/>
        <v>27</v>
      </c>
      <c r="I230" s="4" t="s">
        <v>178</v>
      </c>
    </row>
    <row r="231" spans="1:9" ht="36" customHeight="1" x14ac:dyDescent="0.25">
      <c r="A231" s="230"/>
      <c r="B231" s="77" t="s">
        <v>0</v>
      </c>
      <c r="C231" s="42" t="s">
        <v>24</v>
      </c>
      <c r="D231" s="44">
        <v>46022</v>
      </c>
      <c r="E231" s="44">
        <v>46047</v>
      </c>
      <c r="F231" s="78"/>
      <c r="G231" s="68">
        <v>5000</v>
      </c>
      <c r="H231" s="4">
        <f t="shared" si="15"/>
        <v>26</v>
      </c>
      <c r="I231" s="4" t="s">
        <v>180</v>
      </c>
    </row>
    <row r="232" spans="1:9" ht="36" customHeight="1" x14ac:dyDescent="0.25">
      <c r="A232" s="230"/>
      <c r="B232" s="77" t="s">
        <v>0</v>
      </c>
      <c r="C232" s="42" t="s">
        <v>24</v>
      </c>
      <c r="D232" s="44">
        <v>46022</v>
      </c>
      <c r="E232" s="44">
        <v>46047</v>
      </c>
      <c r="F232" s="78"/>
      <c r="G232" s="68">
        <v>4620</v>
      </c>
      <c r="H232" s="4">
        <f t="shared" si="15"/>
        <v>26</v>
      </c>
      <c r="I232" s="4" t="s">
        <v>181</v>
      </c>
    </row>
    <row r="233" spans="1:9" ht="36" customHeight="1" x14ac:dyDescent="0.25">
      <c r="A233" s="230"/>
      <c r="B233" s="77" t="s">
        <v>0</v>
      </c>
      <c r="C233" s="42" t="s">
        <v>24</v>
      </c>
      <c r="D233" s="44">
        <v>46022</v>
      </c>
      <c r="E233" s="44">
        <v>46047</v>
      </c>
      <c r="F233" s="78"/>
      <c r="G233" s="68">
        <v>3696</v>
      </c>
      <c r="H233" s="4">
        <f t="shared" si="15"/>
        <v>26</v>
      </c>
      <c r="I233" s="4" t="s">
        <v>169</v>
      </c>
    </row>
    <row r="234" spans="1:9" ht="36" customHeight="1" x14ac:dyDescent="0.25">
      <c r="A234" s="230"/>
      <c r="B234" s="77" t="s">
        <v>0</v>
      </c>
      <c r="C234" s="42" t="s">
        <v>24</v>
      </c>
      <c r="D234" s="44">
        <v>46024</v>
      </c>
      <c r="E234" s="44">
        <v>46047</v>
      </c>
      <c r="F234" s="78"/>
      <c r="G234" s="68">
        <v>3696</v>
      </c>
      <c r="H234" s="4">
        <f t="shared" si="15"/>
        <v>24</v>
      </c>
      <c r="I234" s="4" t="s">
        <v>182</v>
      </c>
    </row>
    <row r="235" spans="1:9" ht="36" customHeight="1" x14ac:dyDescent="0.25">
      <c r="A235" s="230"/>
      <c r="B235" s="77" t="s">
        <v>0</v>
      </c>
      <c r="C235" s="42" t="s">
        <v>24</v>
      </c>
      <c r="D235" s="44">
        <v>46024</v>
      </c>
      <c r="E235" s="44">
        <v>46047</v>
      </c>
      <c r="F235" s="78"/>
      <c r="G235" s="68">
        <v>5000</v>
      </c>
      <c r="H235" s="4">
        <f t="shared" si="15"/>
        <v>24</v>
      </c>
      <c r="I235" s="4" t="s">
        <v>180</v>
      </c>
    </row>
    <row r="236" spans="1:9" ht="36" customHeight="1" x14ac:dyDescent="0.25">
      <c r="A236" s="230"/>
      <c r="B236" s="77" t="s">
        <v>0</v>
      </c>
      <c r="C236" s="42" t="s">
        <v>24</v>
      </c>
      <c r="D236" s="44">
        <v>46025</v>
      </c>
      <c r="E236" s="44">
        <v>46047</v>
      </c>
      <c r="F236" s="78"/>
      <c r="G236" s="68">
        <v>2772</v>
      </c>
      <c r="H236" s="4">
        <f t="shared" si="15"/>
        <v>23</v>
      </c>
      <c r="I236" s="4" t="s">
        <v>184</v>
      </c>
    </row>
    <row r="237" spans="1:9" ht="36" customHeight="1" x14ac:dyDescent="0.25">
      <c r="A237" s="230"/>
      <c r="B237" s="77" t="s">
        <v>0</v>
      </c>
      <c r="C237" s="42" t="s">
        <v>24</v>
      </c>
      <c r="D237" s="44">
        <v>46025</v>
      </c>
      <c r="E237" s="44">
        <v>46047</v>
      </c>
      <c r="F237" s="78"/>
      <c r="G237" s="68">
        <v>3696</v>
      </c>
      <c r="H237" s="4">
        <f t="shared" si="15"/>
        <v>23</v>
      </c>
      <c r="I237" s="4" t="s">
        <v>183</v>
      </c>
    </row>
    <row r="238" spans="1:9" ht="36" customHeight="1" x14ac:dyDescent="0.25">
      <c r="A238" s="230"/>
      <c r="B238" s="77" t="s">
        <v>0</v>
      </c>
      <c r="C238" s="42" t="s">
        <v>24</v>
      </c>
      <c r="D238" s="44">
        <v>46026</v>
      </c>
      <c r="E238" s="44">
        <v>46047</v>
      </c>
      <c r="F238" s="78"/>
      <c r="G238" s="68">
        <v>2646</v>
      </c>
      <c r="H238" s="4">
        <f t="shared" si="15"/>
        <v>22</v>
      </c>
      <c r="I238" s="4" t="s">
        <v>185</v>
      </c>
    </row>
    <row r="239" spans="1:9" ht="36" customHeight="1" x14ac:dyDescent="0.25">
      <c r="A239" s="230"/>
      <c r="B239" s="77" t="s">
        <v>0</v>
      </c>
      <c r="C239" s="42" t="s">
        <v>24</v>
      </c>
      <c r="D239" s="44">
        <v>46028</v>
      </c>
      <c r="E239" s="44">
        <v>46047</v>
      </c>
      <c r="F239" s="78"/>
      <c r="G239" s="68">
        <v>3696</v>
      </c>
      <c r="H239" s="4">
        <f t="shared" si="15"/>
        <v>20</v>
      </c>
      <c r="I239" s="4" t="s">
        <v>188</v>
      </c>
    </row>
    <row r="240" spans="1:9" ht="36" customHeight="1" x14ac:dyDescent="0.25">
      <c r="A240" s="230"/>
      <c r="B240" s="77" t="s">
        <v>0</v>
      </c>
      <c r="C240" s="42" t="s">
        <v>24</v>
      </c>
      <c r="D240" s="44">
        <v>46028</v>
      </c>
      <c r="E240" s="44">
        <v>46047</v>
      </c>
      <c r="F240" s="78"/>
      <c r="G240" s="68">
        <v>3696</v>
      </c>
      <c r="H240" s="4">
        <f t="shared" si="15"/>
        <v>20</v>
      </c>
      <c r="I240" s="4" t="s">
        <v>189</v>
      </c>
    </row>
    <row r="241" spans="1:12" ht="36" customHeight="1" x14ac:dyDescent="0.25">
      <c r="A241" s="230"/>
      <c r="B241" s="77" t="s">
        <v>0</v>
      </c>
      <c r="C241" s="42" t="s">
        <v>24</v>
      </c>
      <c r="D241" s="44">
        <v>46029</v>
      </c>
      <c r="E241" s="44">
        <v>46047</v>
      </c>
      <c r="F241" s="78"/>
      <c r="G241" s="68">
        <v>3696</v>
      </c>
      <c r="H241" s="4">
        <f t="shared" si="15"/>
        <v>19</v>
      </c>
      <c r="I241" s="4" t="s">
        <v>182</v>
      </c>
    </row>
    <row r="242" spans="1:12" ht="36" customHeight="1" x14ac:dyDescent="0.25">
      <c r="A242" s="230"/>
      <c r="B242" s="77" t="s">
        <v>0</v>
      </c>
      <c r="C242" s="42" t="s">
        <v>24</v>
      </c>
      <c r="D242" s="44">
        <v>46030</v>
      </c>
      <c r="E242" s="44">
        <v>46047</v>
      </c>
      <c r="F242" s="78"/>
      <c r="G242" s="68">
        <v>10000</v>
      </c>
      <c r="H242" s="4">
        <f t="shared" si="15"/>
        <v>18</v>
      </c>
      <c r="I242" s="4" t="s">
        <v>182</v>
      </c>
    </row>
    <row r="243" spans="1:12" ht="36" customHeight="1" x14ac:dyDescent="0.25">
      <c r="A243" s="230"/>
      <c r="B243" s="77" t="s">
        <v>0</v>
      </c>
      <c r="C243" s="42" t="s">
        <v>24</v>
      </c>
      <c r="D243" s="44">
        <v>46032</v>
      </c>
      <c r="E243" s="44">
        <v>46047</v>
      </c>
      <c r="F243" s="78"/>
      <c r="G243" s="68">
        <v>4620</v>
      </c>
      <c r="H243" s="4">
        <f t="shared" si="15"/>
        <v>16</v>
      </c>
      <c r="I243" s="4" t="s">
        <v>181</v>
      </c>
    </row>
    <row r="244" spans="1:12" ht="36" customHeight="1" x14ac:dyDescent="0.25">
      <c r="A244" s="230"/>
      <c r="B244" s="77" t="s">
        <v>0</v>
      </c>
      <c r="C244" s="42" t="s">
        <v>24</v>
      </c>
      <c r="D244" s="44">
        <v>46033</v>
      </c>
      <c r="E244" s="44">
        <v>46047</v>
      </c>
      <c r="F244" s="78"/>
      <c r="G244" s="68">
        <v>4620</v>
      </c>
      <c r="H244" s="4">
        <f t="shared" si="15"/>
        <v>15</v>
      </c>
      <c r="I244" s="4" t="s">
        <v>190</v>
      </c>
    </row>
    <row r="245" spans="1:12" ht="36" customHeight="1" x14ac:dyDescent="0.25">
      <c r="A245" s="230"/>
      <c r="B245" s="77" t="s">
        <v>0</v>
      </c>
      <c r="C245" s="42" t="s">
        <v>24</v>
      </c>
      <c r="D245" s="44">
        <v>46034</v>
      </c>
      <c r="E245" s="44">
        <v>46047</v>
      </c>
      <c r="F245" s="78"/>
      <c r="G245" s="68">
        <v>4620</v>
      </c>
      <c r="H245" s="4">
        <f t="shared" si="15"/>
        <v>14</v>
      </c>
      <c r="I245" s="4" t="s">
        <v>189</v>
      </c>
    </row>
    <row r="246" spans="1:12" ht="36" customHeight="1" x14ac:dyDescent="0.25">
      <c r="A246" s="230"/>
      <c r="B246" s="77" t="s">
        <v>0</v>
      </c>
      <c r="C246" s="42" t="s">
        <v>24</v>
      </c>
      <c r="D246" s="44">
        <v>46034</v>
      </c>
      <c r="E246" s="44">
        <v>46047</v>
      </c>
      <c r="F246" s="78"/>
      <c r="G246" s="68">
        <v>3234</v>
      </c>
      <c r="H246" s="4">
        <f t="shared" si="15"/>
        <v>14</v>
      </c>
      <c r="I246" s="4" t="s">
        <v>191</v>
      </c>
    </row>
    <row r="247" spans="1:12" ht="36" customHeight="1" x14ac:dyDescent="0.25">
      <c r="A247" s="230"/>
      <c r="B247" s="77" t="s">
        <v>0</v>
      </c>
      <c r="C247" s="42" t="s">
        <v>24</v>
      </c>
      <c r="D247" s="44">
        <v>46035</v>
      </c>
      <c r="E247" s="44">
        <v>46047</v>
      </c>
      <c r="F247" s="78"/>
      <c r="G247" s="68">
        <v>5544</v>
      </c>
      <c r="H247" s="4">
        <f t="shared" si="15"/>
        <v>13</v>
      </c>
      <c r="I247" s="4" t="s">
        <v>192</v>
      </c>
    </row>
    <row r="248" spans="1:12" ht="36" customHeight="1" x14ac:dyDescent="0.25">
      <c r="A248" s="230"/>
      <c r="B248" s="77" t="s">
        <v>0</v>
      </c>
      <c r="C248" s="42" t="s">
        <v>24</v>
      </c>
      <c r="D248" s="44">
        <v>46037</v>
      </c>
      <c r="E248" s="44">
        <v>46047</v>
      </c>
      <c r="F248" s="78"/>
      <c r="G248" s="68">
        <v>4620</v>
      </c>
      <c r="H248" s="4">
        <f t="shared" si="15"/>
        <v>11</v>
      </c>
      <c r="I248" s="4" t="s">
        <v>189</v>
      </c>
    </row>
    <row r="249" spans="1:12" ht="36" customHeight="1" x14ac:dyDescent="0.25">
      <c r="A249" s="230"/>
      <c r="B249" s="77" t="s">
        <v>0</v>
      </c>
      <c r="C249" s="42" t="s">
        <v>24</v>
      </c>
      <c r="D249" s="44">
        <v>46038</v>
      </c>
      <c r="E249" s="44">
        <v>46047</v>
      </c>
      <c r="F249" s="78"/>
      <c r="G249" s="68">
        <v>3696</v>
      </c>
      <c r="H249" s="4">
        <f t="shared" si="15"/>
        <v>10</v>
      </c>
      <c r="I249" s="4" t="s">
        <v>194</v>
      </c>
    </row>
    <row r="250" spans="1:12" ht="36" customHeight="1" x14ac:dyDescent="0.25">
      <c r="A250" s="230"/>
      <c r="B250" s="77" t="s">
        <v>0</v>
      </c>
      <c r="C250" s="42" t="s">
        <v>24</v>
      </c>
      <c r="D250" s="44">
        <v>46038</v>
      </c>
      <c r="E250" s="44">
        <v>46047</v>
      </c>
      <c r="F250" s="78"/>
      <c r="G250" s="68">
        <v>9240</v>
      </c>
      <c r="H250" s="4">
        <f t="shared" si="15"/>
        <v>10</v>
      </c>
      <c r="I250" s="4" t="s">
        <v>193</v>
      </c>
    </row>
    <row r="251" spans="1:12" ht="36" customHeight="1" x14ac:dyDescent="0.25">
      <c r="A251" s="230"/>
      <c r="B251" s="77" t="s">
        <v>0</v>
      </c>
      <c r="C251" s="42" t="s">
        <v>24</v>
      </c>
      <c r="D251" s="44">
        <v>46041</v>
      </c>
      <c r="E251" s="44">
        <v>46047</v>
      </c>
      <c r="F251" s="78"/>
      <c r="G251" s="68">
        <v>3696</v>
      </c>
      <c r="H251" s="4">
        <f t="shared" si="15"/>
        <v>7</v>
      </c>
      <c r="I251" s="4" t="s">
        <v>195</v>
      </c>
    </row>
    <row r="252" spans="1:12" ht="36" customHeight="1" x14ac:dyDescent="0.25">
      <c r="A252" s="230"/>
      <c r="B252" s="77" t="s">
        <v>0</v>
      </c>
      <c r="C252" s="42" t="s">
        <v>24</v>
      </c>
      <c r="D252" s="44">
        <v>46043</v>
      </c>
      <c r="E252" s="44">
        <v>46047</v>
      </c>
      <c r="F252" s="78"/>
      <c r="G252" s="68">
        <v>3696</v>
      </c>
      <c r="H252" s="4">
        <f t="shared" si="15"/>
        <v>5</v>
      </c>
      <c r="I252" s="4" t="s">
        <v>190</v>
      </c>
    </row>
    <row r="253" spans="1:12" ht="36" customHeight="1" x14ac:dyDescent="0.25">
      <c r="A253" s="230"/>
      <c r="B253" s="77" t="s">
        <v>0</v>
      </c>
      <c r="C253" s="42" t="s">
        <v>24</v>
      </c>
      <c r="D253" s="44">
        <v>46045</v>
      </c>
      <c r="E253" s="44">
        <v>46047</v>
      </c>
      <c r="F253" s="78"/>
      <c r="G253" s="68">
        <v>1386</v>
      </c>
      <c r="H253" s="4">
        <f t="shared" si="15"/>
        <v>3</v>
      </c>
      <c r="I253" s="4" t="s">
        <v>182</v>
      </c>
    </row>
    <row r="254" spans="1:12" ht="36" customHeight="1" x14ac:dyDescent="0.25">
      <c r="A254" s="230"/>
      <c r="B254" s="77" t="s">
        <v>0</v>
      </c>
      <c r="C254" s="42" t="s">
        <v>24</v>
      </c>
      <c r="D254" s="44">
        <v>46047</v>
      </c>
      <c r="E254" s="44">
        <v>46047</v>
      </c>
      <c r="F254" s="78"/>
      <c r="G254" s="68">
        <v>3696</v>
      </c>
      <c r="H254" s="4">
        <f t="shared" si="15"/>
        <v>1</v>
      </c>
      <c r="I254" s="4" t="s">
        <v>196</v>
      </c>
    </row>
    <row r="255" spans="1:12" ht="36" customHeight="1" x14ac:dyDescent="0.25">
      <c r="A255" s="225"/>
      <c r="B255" s="226" t="s">
        <v>20</v>
      </c>
      <c r="C255" s="227"/>
      <c r="D255" s="227"/>
      <c r="E255" s="227"/>
      <c r="F255" s="228"/>
      <c r="G255" s="69">
        <f>SUM(G220:G254)</f>
        <v>211247</v>
      </c>
      <c r="H255" s="8"/>
      <c r="I255" s="4"/>
      <c r="J255" s="1">
        <v>195623</v>
      </c>
      <c r="K255" s="1">
        <v>15630</v>
      </c>
      <c r="L255" s="1">
        <f>+J255+K255</f>
        <v>211253</v>
      </c>
    </row>
    <row r="256" spans="1:12" ht="36" customHeight="1" x14ac:dyDescent="0.25">
      <c r="A256" s="224">
        <v>8</v>
      </c>
      <c r="B256" s="77" t="s">
        <v>150</v>
      </c>
      <c r="C256" s="42" t="s">
        <v>24</v>
      </c>
      <c r="D256" s="44">
        <v>46017</v>
      </c>
      <c r="E256" s="44">
        <v>46047</v>
      </c>
      <c r="F256" s="69">
        <v>8400</v>
      </c>
      <c r="G256" s="70">
        <f>+F256</f>
        <v>8400</v>
      </c>
      <c r="H256" s="4">
        <f t="shared" ref="H256:H269" si="16">E256-D256+1</f>
        <v>31</v>
      </c>
      <c r="I256" s="67"/>
    </row>
    <row r="257" spans="1:9" ht="36" customHeight="1" x14ac:dyDescent="0.25">
      <c r="A257" s="230"/>
      <c r="B257" s="77" t="s">
        <v>150</v>
      </c>
      <c r="C257" s="42" t="s">
        <v>24</v>
      </c>
      <c r="D257" s="44">
        <v>46017</v>
      </c>
      <c r="E257" s="44">
        <v>46047</v>
      </c>
      <c r="F257" s="79"/>
      <c r="G257" s="70">
        <v>1500</v>
      </c>
      <c r="H257" s="4">
        <f t="shared" si="16"/>
        <v>31</v>
      </c>
      <c r="I257" s="67" t="s">
        <v>165</v>
      </c>
    </row>
    <row r="258" spans="1:9" ht="36" customHeight="1" x14ac:dyDescent="0.25">
      <c r="A258" s="230"/>
      <c r="B258" s="77" t="s">
        <v>150</v>
      </c>
      <c r="C258" s="42" t="s">
        <v>24</v>
      </c>
      <c r="D258" s="44">
        <v>46021</v>
      </c>
      <c r="E258" s="44">
        <v>46047</v>
      </c>
      <c r="F258" s="79"/>
      <c r="G258" s="70">
        <v>1500</v>
      </c>
      <c r="H258" s="4">
        <f t="shared" si="16"/>
        <v>27</v>
      </c>
      <c r="I258" s="67" t="s">
        <v>170</v>
      </c>
    </row>
    <row r="259" spans="1:9" ht="36" customHeight="1" x14ac:dyDescent="0.25">
      <c r="A259" s="230"/>
      <c r="B259" s="77" t="s">
        <v>150</v>
      </c>
      <c r="C259" s="42" t="s">
        <v>24</v>
      </c>
      <c r="D259" s="44">
        <v>46024</v>
      </c>
      <c r="E259" s="44">
        <v>46047</v>
      </c>
      <c r="F259" s="79"/>
      <c r="G259" s="70">
        <v>1500</v>
      </c>
      <c r="H259" s="4">
        <f t="shared" si="16"/>
        <v>24</v>
      </c>
      <c r="I259" s="67" t="s">
        <v>182</v>
      </c>
    </row>
    <row r="260" spans="1:9" ht="36" customHeight="1" x14ac:dyDescent="0.25">
      <c r="A260" s="230"/>
      <c r="B260" s="77" t="s">
        <v>150</v>
      </c>
      <c r="C260" s="42" t="s">
        <v>24</v>
      </c>
      <c r="D260" s="44">
        <v>46025</v>
      </c>
      <c r="E260" s="44">
        <v>46047</v>
      </c>
      <c r="F260" s="79"/>
      <c r="G260" s="70">
        <v>5750</v>
      </c>
      <c r="H260" s="4">
        <f t="shared" si="16"/>
        <v>23</v>
      </c>
      <c r="I260" s="67" t="s">
        <v>187</v>
      </c>
    </row>
    <row r="261" spans="1:9" ht="36" customHeight="1" x14ac:dyDescent="0.25">
      <c r="A261" s="230"/>
      <c r="B261" s="77" t="s">
        <v>150</v>
      </c>
      <c r="C261" s="42" t="s">
        <v>24</v>
      </c>
      <c r="D261" s="44">
        <v>46029</v>
      </c>
      <c r="E261" s="44">
        <v>46047</v>
      </c>
      <c r="F261" s="79"/>
      <c r="G261" s="70">
        <v>1250</v>
      </c>
      <c r="H261" s="4">
        <f t="shared" si="16"/>
        <v>19</v>
      </c>
      <c r="I261" s="67" t="s">
        <v>182</v>
      </c>
    </row>
    <row r="262" spans="1:9" ht="36" customHeight="1" x14ac:dyDescent="0.25">
      <c r="A262" s="230"/>
      <c r="B262" s="77" t="s">
        <v>150</v>
      </c>
      <c r="C262" s="42" t="s">
        <v>24</v>
      </c>
      <c r="D262" s="44">
        <v>46034</v>
      </c>
      <c r="E262" s="44">
        <v>46047</v>
      </c>
      <c r="F262" s="79"/>
      <c r="G262" s="70">
        <v>1000</v>
      </c>
      <c r="H262" s="4">
        <f t="shared" si="16"/>
        <v>14</v>
      </c>
      <c r="I262" s="67" t="s">
        <v>189</v>
      </c>
    </row>
    <row r="263" spans="1:9" ht="36" customHeight="1" x14ac:dyDescent="0.25">
      <c r="A263" s="230"/>
      <c r="B263" s="77" t="s">
        <v>150</v>
      </c>
      <c r="C263" s="42" t="s">
        <v>24</v>
      </c>
      <c r="D263" s="44">
        <v>46035</v>
      </c>
      <c r="E263" s="44">
        <v>46047</v>
      </c>
      <c r="F263" s="79"/>
      <c r="G263" s="70">
        <v>1500</v>
      </c>
      <c r="H263" s="4">
        <f t="shared" si="16"/>
        <v>13</v>
      </c>
      <c r="I263" s="67" t="s">
        <v>192</v>
      </c>
    </row>
    <row r="264" spans="1:9" ht="36" customHeight="1" x14ac:dyDescent="0.25">
      <c r="A264" s="230"/>
      <c r="B264" s="77" t="s">
        <v>150</v>
      </c>
      <c r="C264" s="42" t="s">
        <v>24</v>
      </c>
      <c r="D264" s="44">
        <v>46037</v>
      </c>
      <c r="E264" s="44">
        <v>46047</v>
      </c>
      <c r="F264" s="79"/>
      <c r="G264" s="70">
        <v>5250</v>
      </c>
      <c r="H264" s="4">
        <f t="shared" si="16"/>
        <v>11</v>
      </c>
      <c r="I264" s="67" t="s">
        <v>189</v>
      </c>
    </row>
    <row r="265" spans="1:9" ht="36" customHeight="1" x14ac:dyDescent="0.25">
      <c r="A265" s="230"/>
      <c r="B265" s="77" t="s">
        <v>150</v>
      </c>
      <c r="C265" s="42" t="s">
        <v>24</v>
      </c>
      <c r="D265" s="44">
        <v>46038</v>
      </c>
      <c r="E265" s="44">
        <v>46047</v>
      </c>
      <c r="F265" s="79"/>
      <c r="G265" s="70">
        <v>1250</v>
      </c>
      <c r="H265" s="4">
        <f t="shared" si="16"/>
        <v>10</v>
      </c>
      <c r="I265" s="67" t="s">
        <v>194</v>
      </c>
    </row>
    <row r="266" spans="1:9" ht="36" customHeight="1" x14ac:dyDescent="0.25">
      <c r="A266" s="230"/>
      <c r="B266" s="77" t="s">
        <v>150</v>
      </c>
      <c r="C266" s="42" t="s">
        <v>24</v>
      </c>
      <c r="D266" s="44">
        <v>46041</v>
      </c>
      <c r="E266" s="44">
        <v>46047</v>
      </c>
      <c r="F266" s="79"/>
      <c r="G266" s="70">
        <v>750</v>
      </c>
      <c r="H266" s="4">
        <f t="shared" si="16"/>
        <v>7</v>
      </c>
      <c r="I266" s="67" t="s">
        <v>195</v>
      </c>
    </row>
    <row r="267" spans="1:9" ht="36" customHeight="1" x14ac:dyDescent="0.25">
      <c r="A267" s="230"/>
      <c r="B267" s="77" t="s">
        <v>150</v>
      </c>
      <c r="C267" s="42" t="s">
        <v>24</v>
      </c>
      <c r="D267" s="44">
        <v>46043</v>
      </c>
      <c r="E267" s="44">
        <v>46047</v>
      </c>
      <c r="F267" s="79"/>
      <c r="G267" s="70">
        <v>750</v>
      </c>
      <c r="H267" s="4">
        <f t="shared" si="16"/>
        <v>5</v>
      </c>
      <c r="I267" s="67" t="s">
        <v>190</v>
      </c>
    </row>
    <row r="268" spans="1:9" ht="36" customHeight="1" x14ac:dyDescent="0.25">
      <c r="A268" s="230"/>
      <c r="B268" s="77" t="s">
        <v>150</v>
      </c>
      <c r="C268" s="42" t="s">
        <v>24</v>
      </c>
      <c r="D268" s="44">
        <v>46045</v>
      </c>
      <c r="E268" s="44">
        <v>46047</v>
      </c>
      <c r="F268" s="82"/>
      <c r="G268" s="70">
        <v>750</v>
      </c>
      <c r="H268" s="4">
        <f t="shared" si="16"/>
        <v>3</v>
      </c>
      <c r="I268" s="67" t="s">
        <v>182</v>
      </c>
    </row>
    <row r="269" spans="1:9" ht="36" customHeight="1" x14ac:dyDescent="0.25">
      <c r="A269" s="230"/>
      <c r="B269" s="77" t="s">
        <v>150</v>
      </c>
      <c r="C269" s="42" t="s">
        <v>24</v>
      </c>
      <c r="D269" s="44">
        <v>46045</v>
      </c>
      <c r="E269" s="44">
        <v>46047</v>
      </c>
      <c r="F269" s="82"/>
      <c r="G269" s="70">
        <v>1000</v>
      </c>
      <c r="H269" s="4">
        <f t="shared" si="16"/>
        <v>3</v>
      </c>
      <c r="I269" s="67" t="s">
        <v>192</v>
      </c>
    </row>
    <row r="270" spans="1:9" ht="36" customHeight="1" x14ac:dyDescent="0.25">
      <c r="A270" s="225"/>
      <c r="B270" s="226" t="s">
        <v>20</v>
      </c>
      <c r="C270" s="227"/>
      <c r="D270" s="227"/>
      <c r="E270" s="227"/>
      <c r="F270" s="228"/>
      <c r="G270" s="69">
        <f>SUM(G256:G269)</f>
        <v>32150</v>
      </c>
      <c r="H270" s="8"/>
      <c r="I270" s="4"/>
    </row>
    <row r="271" spans="1:9" ht="36" customHeight="1" x14ac:dyDescent="0.25">
      <c r="A271" s="224">
        <v>9</v>
      </c>
      <c r="B271" s="77" t="s">
        <v>151</v>
      </c>
      <c r="C271" s="42" t="s">
        <v>24</v>
      </c>
      <c r="D271" s="44">
        <v>46017</v>
      </c>
      <c r="E271" s="44">
        <v>46047</v>
      </c>
      <c r="F271" s="78">
        <v>11350</v>
      </c>
      <c r="G271" s="68">
        <f>+F271</f>
        <v>11350</v>
      </c>
      <c r="H271" s="4">
        <f t="shared" ref="H271:H283" si="17">E271-D271+1</f>
        <v>31</v>
      </c>
      <c r="I271" s="4"/>
    </row>
    <row r="272" spans="1:9" ht="36" customHeight="1" x14ac:dyDescent="0.25">
      <c r="A272" s="230"/>
      <c r="B272" s="77" t="s">
        <v>151</v>
      </c>
      <c r="C272" s="42" t="s">
        <v>24</v>
      </c>
      <c r="D272" s="44">
        <v>46017</v>
      </c>
      <c r="E272" s="44">
        <v>46047</v>
      </c>
      <c r="F272" s="78"/>
      <c r="G272" s="68">
        <v>1500</v>
      </c>
      <c r="H272" s="4">
        <f>E272-D272+1</f>
        <v>31</v>
      </c>
      <c r="I272" s="4" t="s">
        <v>165</v>
      </c>
    </row>
    <row r="273" spans="1:9" ht="36" customHeight="1" x14ac:dyDescent="0.25">
      <c r="A273" s="230"/>
      <c r="B273" s="77" t="s">
        <v>151</v>
      </c>
      <c r="C273" s="42" t="s">
        <v>24</v>
      </c>
      <c r="D273" s="44">
        <v>46021</v>
      </c>
      <c r="E273" s="44">
        <v>46047</v>
      </c>
      <c r="F273" s="78"/>
      <c r="G273" s="68">
        <v>1500</v>
      </c>
      <c r="H273" s="4">
        <f t="shared" si="17"/>
        <v>27</v>
      </c>
      <c r="I273" s="4" t="s">
        <v>170</v>
      </c>
    </row>
    <row r="274" spans="1:9" ht="36" customHeight="1" x14ac:dyDescent="0.25">
      <c r="A274" s="230"/>
      <c r="B274" s="77" t="s">
        <v>151</v>
      </c>
      <c r="C274" s="42" t="s">
        <v>24</v>
      </c>
      <c r="D274" s="44">
        <v>46024</v>
      </c>
      <c r="E274" s="44">
        <v>46047</v>
      </c>
      <c r="F274" s="78"/>
      <c r="G274" s="68">
        <v>1500</v>
      </c>
      <c r="H274" s="4">
        <f t="shared" si="17"/>
        <v>24</v>
      </c>
      <c r="I274" s="4" t="s">
        <v>182</v>
      </c>
    </row>
    <row r="275" spans="1:9" ht="36" customHeight="1" x14ac:dyDescent="0.25">
      <c r="A275" s="230"/>
      <c r="B275" s="77" t="s">
        <v>151</v>
      </c>
      <c r="C275" s="42" t="s">
        <v>24</v>
      </c>
      <c r="D275" s="44">
        <v>46025</v>
      </c>
      <c r="E275" s="44">
        <v>46047</v>
      </c>
      <c r="F275" s="78"/>
      <c r="G275" s="68">
        <v>5500</v>
      </c>
      <c r="H275" s="4">
        <f t="shared" si="17"/>
        <v>23</v>
      </c>
      <c r="I275" s="4" t="s">
        <v>187</v>
      </c>
    </row>
    <row r="276" spans="1:9" ht="36" customHeight="1" x14ac:dyDescent="0.25">
      <c r="A276" s="230"/>
      <c r="B276" s="77" t="s">
        <v>151</v>
      </c>
      <c r="C276" s="42" t="s">
        <v>24</v>
      </c>
      <c r="D276" s="44">
        <v>46029</v>
      </c>
      <c r="E276" s="44">
        <v>46047</v>
      </c>
      <c r="F276" s="78"/>
      <c r="G276" s="68">
        <v>1000</v>
      </c>
      <c r="H276" s="4">
        <f t="shared" si="17"/>
        <v>19</v>
      </c>
      <c r="I276" s="4" t="s">
        <v>182</v>
      </c>
    </row>
    <row r="277" spans="1:9" ht="36" customHeight="1" x14ac:dyDescent="0.25">
      <c r="A277" s="230"/>
      <c r="B277" s="77" t="s">
        <v>151</v>
      </c>
      <c r="C277" s="42" t="s">
        <v>24</v>
      </c>
      <c r="D277" s="44">
        <v>46034</v>
      </c>
      <c r="E277" s="44">
        <v>46047</v>
      </c>
      <c r="F277" s="78"/>
      <c r="G277" s="68">
        <v>1000</v>
      </c>
      <c r="H277" s="4">
        <f t="shared" si="17"/>
        <v>14</v>
      </c>
      <c r="I277" s="4" t="s">
        <v>189</v>
      </c>
    </row>
    <row r="278" spans="1:9" ht="36" customHeight="1" x14ac:dyDescent="0.25">
      <c r="A278" s="230"/>
      <c r="B278" s="77" t="s">
        <v>151</v>
      </c>
      <c r="C278" s="42" t="s">
        <v>24</v>
      </c>
      <c r="D278" s="44">
        <v>46038</v>
      </c>
      <c r="E278" s="44">
        <v>46047</v>
      </c>
      <c r="F278" s="78"/>
      <c r="G278" s="68">
        <v>250</v>
      </c>
      <c r="H278" s="4">
        <f t="shared" si="17"/>
        <v>10</v>
      </c>
      <c r="I278" s="4" t="s">
        <v>194</v>
      </c>
    </row>
    <row r="279" spans="1:9" ht="36" customHeight="1" x14ac:dyDescent="0.25">
      <c r="A279" s="230"/>
      <c r="B279" s="77" t="s">
        <v>151</v>
      </c>
      <c r="C279" s="42" t="s">
        <v>24</v>
      </c>
      <c r="D279" s="44">
        <v>46041</v>
      </c>
      <c r="E279" s="44">
        <v>46047</v>
      </c>
      <c r="F279" s="81"/>
      <c r="G279" s="68">
        <v>750</v>
      </c>
      <c r="H279" s="4">
        <f t="shared" si="17"/>
        <v>7</v>
      </c>
      <c r="I279" s="4" t="s">
        <v>195</v>
      </c>
    </row>
    <row r="280" spans="1:9" ht="36" customHeight="1" x14ac:dyDescent="0.25">
      <c r="A280" s="230"/>
      <c r="B280" s="77" t="s">
        <v>151</v>
      </c>
      <c r="C280" s="42" t="s">
        <v>24</v>
      </c>
      <c r="D280" s="44">
        <v>46043</v>
      </c>
      <c r="E280" s="44">
        <v>46047</v>
      </c>
      <c r="F280" s="81"/>
      <c r="G280" s="68">
        <v>750</v>
      </c>
      <c r="H280" s="4">
        <f t="shared" si="17"/>
        <v>5</v>
      </c>
      <c r="I280" s="4" t="s">
        <v>190</v>
      </c>
    </row>
    <row r="281" spans="1:9" ht="36" customHeight="1" x14ac:dyDescent="0.25">
      <c r="A281" s="230"/>
      <c r="B281" s="77" t="s">
        <v>151</v>
      </c>
      <c r="C281" s="42" t="s">
        <v>24</v>
      </c>
      <c r="D281" s="44">
        <v>46045</v>
      </c>
      <c r="E281" s="44">
        <v>46047</v>
      </c>
      <c r="F281" s="81"/>
      <c r="G281" s="68">
        <v>2250</v>
      </c>
      <c r="H281" s="4">
        <f t="shared" si="17"/>
        <v>3</v>
      </c>
      <c r="I281" s="4" t="s">
        <v>182</v>
      </c>
    </row>
    <row r="282" spans="1:9" ht="36" customHeight="1" x14ac:dyDescent="0.25">
      <c r="A282" s="230"/>
      <c r="B282" s="77" t="s">
        <v>151</v>
      </c>
      <c r="C282" s="42" t="s">
        <v>24</v>
      </c>
      <c r="D282" s="44">
        <v>46045</v>
      </c>
      <c r="E282" s="44">
        <v>46047</v>
      </c>
      <c r="F282" s="81"/>
      <c r="G282" s="68">
        <v>1250</v>
      </c>
      <c r="H282" s="4">
        <f t="shared" si="17"/>
        <v>3</v>
      </c>
      <c r="I282" s="4" t="s">
        <v>192</v>
      </c>
    </row>
    <row r="283" spans="1:9" ht="36" customHeight="1" x14ac:dyDescent="0.25">
      <c r="A283" s="230"/>
      <c r="B283" s="77" t="s">
        <v>151</v>
      </c>
      <c r="C283" s="42" t="s">
        <v>24</v>
      </c>
      <c r="D283" s="44">
        <v>46047</v>
      </c>
      <c r="E283" s="44">
        <v>46047</v>
      </c>
      <c r="F283" s="81"/>
      <c r="G283" s="68">
        <v>750</v>
      </c>
      <c r="H283" s="4">
        <f t="shared" si="17"/>
        <v>1</v>
      </c>
      <c r="I283" s="4" t="s">
        <v>196</v>
      </c>
    </row>
    <row r="284" spans="1:9" ht="36" customHeight="1" x14ac:dyDescent="0.25">
      <c r="A284" s="225"/>
      <c r="B284" s="226" t="s">
        <v>20</v>
      </c>
      <c r="C284" s="227"/>
      <c r="D284" s="227"/>
      <c r="E284" s="227"/>
      <c r="F284" s="228"/>
      <c r="G284" s="69">
        <f>SUM(G271:G283)</f>
        <v>29350</v>
      </c>
      <c r="H284" s="8"/>
      <c r="I284" s="4"/>
    </row>
    <row r="285" spans="1:9" ht="36" customHeight="1" x14ac:dyDescent="0.25">
      <c r="A285" s="224">
        <v>10</v>
      </c>
      <c r="B285" s="77" t="s">
        <v>171</v>
      </c>
      <c r="C285" s="42" t="s">
        <v>24</v>
      </c>
      <c r="D285" s="44">
        <v>46028</v>
      </c>
      <c r="E285" s="44">
        <v>46047</v>
      </c>
      <c r="F285" s="78"/>
      <c r="G285" s="68">
        <v>1000</v>
      </c>
      <c r="H285" s="4">
        <f>E285-D285+1</f>
        <v>20</v>
      </c>
      <c r="I285" s="4" t="s">
        <v>188</v>
      </c>
    </row>
    <row r="286" spans="1:9" ht="36" customHeight="1" x14ac:dyDescent="0.25">
      <c r="A286" s="225"/>
      <c r="B286" s="226" t="s">
        <v>20</v>
      </c>
      <c r="C286" s="227"/>
      <c r="D286" s="227"/>
      <c r="E286" s="227"/>
      <c r="F286" s="228"/>
      <c r="G286" s="69">
        <f>SUM(G285:G285)</f>
        <v>1000</v>
      </c>
      <c r="H286" s="8"/>
      <c r="I286" s="4"/>
    </row>
    <row r="287" spans="1:9" ht="36" customHeight="1" x14ac:dyDescent="0.25">
      <c r="A287" s="59" t="str">
        <f>ROMAN(2,0)</f>
        <v>II</v>
      </c>
      <c r="B287" s="22" t="s">
        <v>56</v>
      </c>
      <c r="C287" s="59"/>
      <c r="D287" s="59"/>
      <c r="E287" s="59"/>
      <c r="F287" s="59"/>
      <c r="G287" s="69"/>
      <c r="H287" s="8"/>
      <c r="I287" s="8"/>
    </row>
    <row r="288" spans="1:9" ht="36" customHeight="1" x14ac:dyDescent="0.25">
      <c r="A288" s="42">
        <v>1</v>
      </c>
      <c r="B288" s="80" t="s">
        <v>58</v>
      </c>
      <c r="C288" s="42" t="s">
        <v>57</v>
      </c>
      <c r="D288" s="42"/>
      <c r="E288" s="59"/>
      <c r="F288" s="79">
        <v>16</v>
      </c>
      <c r="G288" s="79">
        <v>38</v>
      </c>
      <c r="H288" s="4"/>
      <c r="I288" s="23"/>
    </row>
    <row r="289" spans="1:9" ht="36" customHeight="1" x14ac:dyDescent="0.25">
      <c r="A289" s="42">
        <v>2</v>
      </c>
      <c r="B289" s="80" t="s">
        <v>73</v>
      </c>
      <c r="C289" s="42" t="s">
        <v>57</v>
      </c>
      <c r="D289" s="42"/>
      <c r="E289" s="59"/>
      <c r="F289" s="79">
        <v>1</v>
      </c>
      <c r="G289" s="79"/>
      <c r="H289" s="8"/>
      <c r="I289" s="23"/>
    </row>
    <row r="291" spans="1:9" x14ac:dyDescent="0.25">
      <c r="A291" s="5" t="s">
        <v>60</v>
      </c>
    </row>
    <row r="292" spans="1:9" x14ac:dyDescent="0.25">
      <c r="A292" s="236" t="s">
        <v>21</v>
      </c>
      <c r="B292" s="236"/>
      <c r="C292" s="236"/>
      <c r="D292" s="236"/>
      <c r="E292" s="236" t="s">
        <v>22</v>
      </c>
      <c r="F292" s="236"/>
      <c r="G292" s="236"/>
      <c r="H292" s="236"/>
      <c r="I292" s="236"/>
    </row>
    <row r="297" spans="1:9" ht="15.75" x14ac:dyDescent="0.25">
      <c r="A297" s="197" t="s">
        <v>1</v>
      </c>
      <c r="B297" s="197"/>
      <c r="C297" s="197"/>
      <c r="D297" s="197"/>
      <c r="E297" s="197"/>
      <c r="F297" s="197"/>
      <c r="G297" s="197"/>
      <c r="H297" s="197"/>
      <c r="I297" s="197"/>
    </row>
    <row r="298" spans="1:9" ht="15.75" x14ac:dyDescent="0.25">
      <c r="A298" s="197" t="s">
        <v>2</v>
      </c>
      <c r="B298" s="197"/>
      <c r="C298" s="197"/>
      <c r="D298" s="197"/>
      <c r="E298" s="197"/>
      <c r="F298" s="197"/>
      <c r="G298" s="197"/>
      <c r="H298" s="197"/>
      <c r="I298" s="197"/>
    </row>
    <row r="299" spans="1:9" ht="15" x14ac:dyDescent="0.25">
      <c r="A299" s="18"/>
      <c r="B299" s="18"/>
      <c r="C299" s="18"/>
      <c r="D299" s="18"/>
      <c r="E299" s="18"/>
      <c r="F299" s="18"/>
      <c r="G299" s="18"/>
      <c r="H299" s="18"/>
      <c r="I299" s="18"/>
    </row>
    <row r="300" spans="1:9" ht="20.25" x14ac:dyDescent="0.25">
      <c r="A300" s="204" t="s">
        <v>132</v>
      </c>
      <c r="B300" s="204"/>
      <c r="C300" s="204"/>
      <c r="D300" s="204"/>
      <c r="E300" s="204"/>
      <c r="F300" s="204"/>
      <c r="G300" s="204"/>
      <c r="H300" s="204"/>
      <c r="I300" s="204"/>
    </row>
    <row r="301" spans="1:9" ht="15.75" x14ac:dyDescent="0.25">
      <c r="A301" s="197" t="s">
        <v>245</v>
      </c>
      <c r="B301" s="197"/>
      <c r="C301" s="197"/>
      <c r="D301" s="197"/>
      <c r="E301" s="197"/>
      <c r="F301" s="197"/>
      <c r="G301" s="197"/>
      <c r="H301" s="197"/>
      <c r="I301" s="197"/>
    </row>
    <row r="302" spans="1:9" ht="15.75" x14ac:dyDescent="0.25">
      <c r="A302" s="60"/>
      <c r="B302" s="60"/>
      <c r="C302" s="60"/>
      <c r="D302" s="60"/>
      <c r="E302" s="60"/>
      <c r="F302" s="60"/>
      <c r="G302" s="60"/>
      <c r="H302" s="60"/>
      <c r="I302" s="60"/>
    </row>
    <row r="303" spans="1:9" x14ac:dyDescent="0.25">
      <c r="A303" s="219" t="str">
        <f>'Giá trị'!$A$7:$K$7</f>
        <v>- Căn cứ Hợp đồng kinh tế số 0412/HĐKT2025/TP-VIETPANEL ký ngày 04/12/2025 giữa Công ty TNHH xây dựng Việt Panel và Công ty Cổ phần Tập đoàn Thiết bị xây dựng TP về việc cho thuê thiết bị xây dựng.</v>
      </c>
      <c r="B303" s="219"/>
      <c r="C303" s="219"/>
      <c r="D303" s="219"/>
      <c r="E303" s="219"/>
      <c r="F303" s="219"/>
      <c r="G303" s="219"/>
      <c r="H303" s="219"/>
      <c r="I303" s="219"/>
    </row>
    <row r="304" spans="1:9" x14ac:dyDescent="0.25">
      <c r="A304" s="6" t="s">
        <v>51</v>
      </c>
      <c r="B304" s="5" t="str">
        <f>'Giá trị'!$B$8</f>
        <v>Senci</v>
      </c>
      <c r="C304" s="30"/>
      <c r="D304" s="30"/>
      <c r="E304" s="30"/>
    </row>
    <row r="305" spans="1:9" x14ac:dyDescent="0.25">
      <c r="A305" s="6" t="s">
        <v>59</v>
      </c>
      <c r="B305" s="6" t="str">
        <f>'Giá trị'!$B$9</f>
        <v>KCN Phúc Điền, Hải Dương</v>
      </c>
      <c r="C305" s="30"/>
      <c r="D305" s="30"/>
      <c r="E305" s="30"/>
    </row>
    <row r="306" spans="1:9" x14ac:dyDescent="0.25">
      <c r="A306" s="6" t="s">
        <v>3</v>
      </c>
      <c r="C306" s="30"/>
      <c r="D306" s="30"/>
      <c r="E306" s="30"/>
    </row>
    <row r="307" spans="1:9" x14ac:dyDescent="0.25">
      <c r="A307" s="5" t="s">
        <v>172</v>
      </c>
      <c r="C307" s="30"/>
      <c r="D307" s="30"/>
      <c r="E307" s="30"/>
    </row>
    <row r="308" spans="1:9" x14ac:dyDescent="0.25">
      <c r="A308" s="7" t="str">
        <f>'Giá trị'!$A$12</f>
        <v>BÊN THUÊ (BÊN A): CÔNG TY TNHH XÂY DỰNG VIỆT PANEL</v>
      </c>
      <c r="B308" s="7"/>
      <c r="C308" s="40"/>
      <c r="D308" s="40"/>
      <c r="E308" s="40"/>
      <c r="F308" s="7"/>
      <c r="G308" s="7"/>
      <c r="H308" s="7"/>
      <c r="I308" s="7"/>
    </row>
    <row r="309" spans="1:9" x14ac:dyDescent="0.25">
      <c r="A309" s="5" t="s">
        <v>125</v>
      </c>
      <c r="B309" s="5" t="str">
        <f>'Giá trị'!$B$13</f>
        <v>Thôn Đông Phù, Xã Tiên Du, Tỉnh Bắc Ninh, Việt Nam</v>
      </c>
      <c r="C309" s="30"/>
      <c r="D309" s="30"/>
      <c r="E309" s="30"/>
    </row>
    <row r="310" spans="1:9" x14ac:dyDescent="0.25">
      <c r="A310" s="5" t="s">
        <v>5</v>
      </c>
      <c r="C310" s="198" t="str">
        <f>'Giá trị'!$C$14:$D$14</f>
        <v>0222 6535 699</v>
      </c>
      <c r="D310" s="208"/>
    </row>
    <row r="311" spans="1:9" x14ac:dyDescent="0.25">
      <c r="A311" s="5" t="s">
        <v>4</v>
      </c>
      <c r="C311" s="209">
        <f>'Giá trị'!$C$15:$D$15</f>
        <v>616139999</v>
      </c>
      <c r="D311" s="209"/>
      <c r="E311" s="41" t="str">
        <f>'Giá trị'!$E$15</f>
        <v>Tại MB Ngân hàng quân đội</v>
      </c>
    </row>
    <row r="312" spans="1:9" x14ac:dyDescent="0.25">
      <c r="A312" s="5" t="s">
        <v>6</v>
      </c>
      <c r="B312" s="6"/>
      <c r="C312" s="198" t="str">
        <f>'Giá trị'!$C$16:$D$16</f>
        <v>2300856941</v>
      </c>
      <c r="D312" s="198"/>
      <c r="E312" s="6"/>
      <c r="F312" s="6"/>
    </row>
    <row r="313" spans="1:9" x14ac:dyDescent="0.25">
      <c r="A313" s="5" t="s">
        <v>7</v>
      </c>
      <c r="C313" s="7" t="str">
        <f>'Giá trị'!$C$17</f>
        <v>Ông Lưu Đình Cải</v>
      </c>
      <c r="D313" s="40"/>
      <c r="E313" s="5" t="str">
        <f>'Giá trị'!$E$17</f>
        <v>Chức vụ: Giám đốc</v>
      </c>
    </row>
    <row r="314" spans="1:9" x14ac:dyDescent="0.25">
      <c r="C314" s="30"/>
      <c r="D314" s="30"/>
      <c r="E314" s="30"/>
    </row>
    <row r="315" spans="1:9" x14ac:dyDescent="0.25">
      <c r="A315" s="7" t="s">
        <v>8</v>
      </c>
      <c r="B315" s="7"/>
      <c r="C315" s="40"/>
      <c r="D315" s="40"/>
      <c r="E315" s="40"/>
      <c r="F315" s="7"/>
      <c r="G315" s="7"/>
      <c r="H315" s="7"/>
      <c r="I315" s="7"/>
    </row>
    <row r="316" spans="1:9" x14ac:dyDescent="0.25">
      <c r="A316" s="5" t="s">
        <v>115</v>
      </c>
      <c r="C316" s="30"/>
      <c r="D316" s="30"/>
      <c r="E316" s="30"/>
    </row>
    <row r="317" spans="1:9" x14ac:dyDescent="0.25">
      <c r="A317" s="5" t="s">
        <v>5</v>
      </c>
      <c r="C317" s="6" t="s">
        <v>9</v>
      </c>
      <c r="D317" s="24"/>
      <c r="E317" s="30"/>
    </row>
    <row r="318" spans="1:9" x14ac:dyDescent="0.25">
      <c r="A318" s="5" t="s">
        <v>10</v>
      </c>
      <c r="C318" s="32" t="str">
        <f>'Giá trị'!$C$22</f>
        <v>8331100096008</v>
      </c>
      <c r="D318" s="17"/>
      <c r="E318" s="201" t="str">
        <f>$E$22</f>
        <v>Tại Ngân hàng Thương mại cổ phần Quân đội - Chi nhánh Hoàng Quốc Việt</v>
      </c>
      <c r="F318" s="201"/>
      <c r="G318" s="201"/>
      <c r="H318" s="201"/>
      <c r="I318" s="201"/>
    </row>
    <row r="319" spans="1:9" x14ac:dyDescent="0.25">
      <c r="A319" s="5" t="s">
        <v>6</v>
      </c>
      <c r="C319" s="6" t="s">
        <v>19</v>
      </c>
      <c r="D319" s="24"/>
      <c r="E319" s="41"/>
    </row>
    <row r="320" spans="1:9" x14ac:dyDescent="0.25">
      <c r="A320" s="5" t="s">
        <v>7</v>
      </c>
      <c r="C320" s="7" t="s">
        <v>116</v>
      </c>
      <c r="D320" s="40"/>
      <c r="E320" s="41" t="s">
        <v>117</v>
      </c>
    </row>
    <row r="321" spans="1:13" x14ac:dyDescent="0.25">
      <c r="C321" s="30"/>
      <c r="D321" s="30"/>
      <c r="E321" s="30"/>
    </row>
    <row r="322" spans="1:13" x14ac:dyDescent="0.25">
      <c r="A322" s="5" t="s">
        <v>246</v>
      </c>
      <c r="C322" s="30"/>
      <c r="D322" s="30"/>
      <c r="E322" s="30"/>
    </row>
    <row r="323" spans="1:13" ht="49.5" x14ac:dyDescent="0.25">
      <c r="A323" s="3" t="s">
        <v>12</v>
      </c>
      <c r="B323" s="3" t="s">
        <v>13</v>
      </c>
      <c r="C323" s="3" t="s">
        <v>23</v>
      </c>
      <c r="D323" s="3" t="s">
        <v>61</v>
      </c>
      <c r="E323" s="3" t="s">
        <v>14</v>
      </c>
      <c r="F323" s="3" t="s">
        <v>15</v>
      </c>
      <c r="G323" s="3" t="s">
        <v>16</v>
      </c>
      <c r="H323" s="3" t="s">
        <v>62</v>
      </c>
      <c r="I323" s="3" t="s">
        <v>18</v>
      </c>
      <c r="J323" s="72">
        <f>+G326+G335+G341+G346+G350+G355+G364+G367+G373+G375</f>
        <v>473820</v>
      </c>
      <c r="K323" s="72">
        <v>473874</v>
      </c>
      <c r="L323" s="27">
        <f>+K323-J323</f>
        <v>54</v>
      </c>
      <c r="M323" s="72"/>
    </row>
    <row r="324" spans="1:13" ht="42.75" customHeight="1" x14ac:dyDescent="0.25">
      <c r="A324" s="3" t="str">
        <f>ROMAN(1,0)</f>
        <v>I</v>
      </c>
      <c r="B324" s="21" t="s">
        <v>55</v>
      </c>
      <c r="C324" s="3"/>
      <c r="D324" s="3"/>
      <c r="E324" s="3"/>
      <c r="F324" s="3"/>
      <c r="G324" s="3"/>
      <c r="H324" s="3"/>
      <c r="I324" s="3"/>
      <c r="M324" s="72"/>
    </row>
    <row r="325" spans="1:13" ht="42.75" customHeight="1" x14ac:dyDescent="0.25">
      <c r="A325" s="229">
        <v>1</v>
      </c>
      <c r="B325" s="77" t="s">
        <v>148</v>
      </c>
      <c r="C325" s="42" t="s">
        <v>49</v>
      </c>
      <c r="D325" s="44">
        <v>46048</v>
      </c>
      <c r="E325" s="44">
        <v>46078</v>
      </c>
      <c r="F325" s="78">
        <v>21400</v>
      </c>
      <c r="G325" s="68">
        <f>+F325</f>
        <v>21400</v>
      </c>
      <c r="H325" s="4">
        <f>E325-D325+1-15</f>
        <v>16</v>
      </c>
      <c r="I325" s="233" t="s">
        <v>253</v>
      </c>
    </row>
    <row r="326" spans="1:13" ht="42.75" customHeight="1" x14ac:dyDescent="0.25">
      <c r="A326" s="229"/>
      <c r="B326" s="226" t="s">
        <v>20</v>
      </c>
      <c r="C326" s="227"/>
      <c r="D326" s="227"/>
      <c r="E326" s="227"/>
      <c r="F326" s="228"/>
      <c r="G326" s="69">
        <f>SUM(G325:G325)</f>
        <v>21400</v>
      </c>
      <c r="H326" s="4"/>
      <c r="I326" s="234"/>
    </row>
    <row r="327" spans="1:13" ht="42.75" customHeight="1" x14ac:dyDescent="0.25">
      <c r="A327" s="224">
        <v>2</v>
      </c>
      <c r="B327" s="77" t="s">
        <v>122</v>
      </c>
      <c r="C327" s="42" t="s">
        <v>49</v>
      </c>
      <c r="D327" s="44">
        <v>46048</v>
      </c>
      <c r="E327" s="44">
        <v>46078</v>
      </c>
      <c r="F327" s="78">
        <v>26000</v>
      </c>
      <c r="G327" s="68">
        <f>+F327</f>
        <v>26000</v>
      </c>
      <c r="H327" s="4">
        <f t="shared" ref="H327:H374" si="18">E327-D327+1-15</f>
        <v>16</v>
      </c>
      <c r="I327" s="234"/>
    </row>
    <row r="328" spans="1:13" ht="42.75" customHeight="1" x14ac:dyDescent="0.25">
      <c r="A328" s="230"/>
      <c r="B328" s="77" t="s">
        <v>122</v>
      </c>
      <c r="C328" s="42" t="s">
        <v>49</v>
      </c>
      <c r="D328" s="44">
        <v>46048</v>
      </c>
      <c r="E328" s="44">
        <v>46078</v>
      </c>
      <c r="F328" s="78"/>
      <c r="G328" s="68">
        <v>700</v>
      </c>
      <c r="H328" s="4">
        <f t="shared" si="18"/>
        <v>16</v>
      </c>
      <c r="I328" s="234"/>
      <c r="J328" s="1" t="s">
        <v>170</v>
      </c>
    </row>
    <row r="329" spans="1:13" ht="42.75" customHeight="1" x14ac:dyDescent="0.25">
      <c r="A329" s="230"/>
      <c r="B329" s="77" t="s">
        <v>122</v>
      </c>
      <c r="C329" s="42" t="s">
        <v>49</v>
      </c>
      <c r="D329" s="44">
        <v>46049</v>
      </c>
      <c r="E329" s="44">
        <v>46078</v>
      </c>
      <c r="F329" s="78"/>
      <c r="G329" s="68">
        <v>1400</v>
      </c>
      <c r="H329" s="4">
        <f>E329-D329+1-15</f>
        <v>15</v>
      </c>
      <c r="I329" s="234"/>
      <c r="J329" s="1" t="s">
        <v>250</v>
      </c>
      <c r="L329" s="1" t="s">
        <v>260</v>
      </c>
      <c r="M329" s="1" t="s">
        <v>262</v>
      </c>
    </row>
    <row r="330" spans="1:13" ht="42.75" customHeight="1" x14ac:dyDescent="0.25">
      <c r="A330" s="230"/>
      <c r="B330" s="77" t="s">
        <v>122</v>
      </c>
      <c r="C330" s="42" t="s">
        <v>49</v>
      </c>
      <c r="D330" s="44">
        <v>46049</v>
      </c>
      <c r="E330" s="44">
        <v>46078</v>
      </c>
      <c r="F330" s="79"/>
      <c r="G330" s="68">
        <v>1400</v>
      </c>
      <c r="H330" s="4">
        <f t="shared" si="18"/>
        <v>15</v>
      </c>
      <c r="I330" s="234"/>
      <c r="J330" s="1" t="s">
        <v>247</v>
      </c>
    </row>
    <row r="331" spans="1:13" ht="42.75" customHeight="1" x14ac:dyDescent="0.25">
      <c r="A331" s="230"/>
      <c r="B331" s="77" t="s">
        <v>122</v>
      </c>
      <c r="C331" s="42" t="s">
        <v>49</v>
      </c>
      <c r="D331" s="44">
        <v>46059</v>
      </c>
      <c r="E331" s="44">
        <v>46078</v>
      </c>
      <c r="F331" s="79"/>
      <c r="G331" s="68">
        <v>500</v>
      </c>
      <c r="H331" s="4">
        <f t="shared" si="18"/>
        <v>5</v>
      </c>
      <c r="I331" s="234"/>
      <c r="J331" s="1" t="s">
        <v>168</v>
      </c>
    </row>
    <row r="332" spans="1:13" ht="42.75" customHeight="1" x14ac:dyDescent="0.25">
      <c r="A332" s="230"/>
      <c r="B332" s="77" t="s">
        <v>122</v>
      </c>
      <c r="C332" s="42" t="s">
        <v>49</v>
      </c>
      <c r="D332" s="44">
        <v>46059</v>
      </c>
      <c r="E332" s="44">
        <v>46078</v>
      </c>
      <c r="F332" s="79"/>
      <c r="G332" s="68">
        <v>500</v>
      </c>
      <c r="H332" s="4">
        <f t="shared" si="18"/>
        <v>5</v>
      </c>
      <c r="I332" s="234"/>
      <c r="J332" s="1" t="s">
        <v>169</v>
      </c>
    </row>
    <row r="333" spans="1:13" ht="42.75" customHeight="1" x14ac:dyDescent="0.25">
      <c r="A333" s="230"/>
      <c r="B333" s="77" t="s">
        <v>122</v>
      </c>
      <c r="C333" s="42" t="s">
        <v>49</v>
      </c>
      <c r="D333" s="44">
        <v>46061</v>
      </c>
      <c r="E333" s="44">
        <v>46078</v>
      </c>
      <c r="F333" s="79"/>
      <c r="G333" s="68">
        <v>600</v>
      </c>
      <c r="H333" s="4">
        <f t="shared" si="18"/>
        <v>3</v>
      </c>
      <c r="I333" s="234"/>
      <c r="J333" s="1" t="s">
        <v>248</v>
      </c>
      <c r="L333" s="1" t="s">
        <v>261</v>
      </c>
      <c r="M333" s="1" t="s">
        <v>262</v>
      </c>
    </row>
    <row r="334" spans="1:13" ht="42.75" customHeight="1" x14ac:dyDescent="0.25">
      <c r="A334" s="230"/>
      <c r="B334" s="77" t="s">
        <v>122</v>
      </c>
      <c r="C334" s="42" t="s">
        <v>49</v>
      </c>
      <c r="D334" s="44">
        <v>46061</v>
      </c>
      <c r="E334" s="44">
        <v>46078</v>
      </c>
      <c r="F334" s="79"/>
      <c r="G334" s="68">
        <v>1200</v>
      </c>
      <c r="H334" s="4">
        <f t="shared" si="18"/>
        <v>3</v>
      </c>
      <c r="I334" s="234"/>
      <c r="J334" s="1" t="s">
        <v>249</v>
      </c>
    </row>
    <row r="335" spans="1:13" ht="42.75" customHeight="1" x14ac:dyDescent="0.25">
      <c r="A335" s="225"/>
      <c r="B335" s="226" t="s">
        <v>20</v>
      </c>
      <c r="C335" s="227"/>
      <c r="D335" s="227"/>
      <c r="E335" s="227"/>
      <c r="F335" s="228"/>
      <c r="G335" s="69">
        <f>SUM(G327:G334)</f>
        <v>32300</v>
      </c>
      <c r="H335" s="4"/>
      <c r="I335" s="234"/>
    </row>
    <row r="336" spans="1:13" ht="42.75" customHeight="1" x14ac:dyDescent="0.25">
      <c r="A336" s="224">
        <v>3</v>
      </c>
      <c r="B336" s="77" t="s">
        <v>118</v>
      </c>
      <c r="C336" s="42" t="s">
        <v>49</v>
      </c>
      <c r="D336" s="44">
        <v>46048</v>
      </c>
      <c r="E336" s="44">
        <v>46078</v>
      </c>
      <c r="F336" s="78">
        <v>1100</v>
      </c>
      <c r="G336" s="68">
        <f>+F336</f>
        <v>1100</v>
      </c>
      <c r="H336" s="4">
        <f t="shared" si="18"/>
        <v>16</v>
      </c>
      <c r="I336" s="234"/>
    </row>
    <row r="337" spans="1:13" ht="42.75" customHeight="1" x14ac:dyDescent="0.25">
      <c r="A337" s="230"/>
      <c r="B337" s="77" t="s">
        <v>118</v>
      </c>
      <c r="C337" s="42" t="s">
        <v>49</v>
      </c>
      <c r="D337" s="44">
        <v>46059</v>
      </c>
      <c r="E337" s="44">
        <v>46078</v>
      </c>
      <c r="F337" s="81"/>
      <c r="G337" s="68">
        <v>1200</v>
      </c>
      <c r="H337" s="4">
        <f t="shared" si="18"/>
        <v>5</v>
      </c>
      <c r="I337" s="234"/>
      <c r="J337" s="1" t="s">
        <v>168</v>
      </c>
    </row>
    <row r="338" spans="1:13" ht="42.75" customHeight="1" x14ac:dyDescent="0.25">
      <c r="A338" s="230"/>
      <c r="B338" s="77" t="s">
        <v>118</v>
      </c>
      <c r="C338" s="42" t="s">
        <v>49</v>
      </c>
      <c r="D338" s="44">
        <v>46059</v>
      </c>
      <c r="E338" s="44">
        <v>46078</v>
      </c>
      <c r="F338" s="81"/>
      <c r="G338" s="68">
        <v>1200</v>
      </c>
      <c r="H338" s="4">
        <f t="shared" si="18"/>
        <v>5</v>
      </c>
      <c r="I338" s="234"/>
      <c r="J338" s="1" t="s">
        <v>169</v>
      </c>
    </row>
    <row r="339" spans="1:13" ht="42.75" customHeight="1" x14ac:dyDescent="0.25">
      <c r="A339" s="230"/>
      <c r="B339" s="77" t="s">
        <v>118</v>
      </c>
      <c r="C339" s="42" t="s">
        <v>49</v>
      </c>
      <c r="D339" s="44">
        <v>46061</v>
      </c>
      <c r="E339" s="44">
        <v>46078</v>
      </c>
      <c r="F339" s="81"/>
      <c r="G339" s="68">
        <v>1600</v>
      </c>
      <c r="H339" s="4">
        <f t="shared" si="18"/>
        <v>3</v>
      </c>
      <c r="I339" s="234"/>
      <c r="J339" s="1" t="s">
        <v>248</v>
      </c>
      <c r="L339" s="1" t="s">
        <v>261</v>
      </c>
      <c r="M339" s="1" t="s">
        <v>262</v>
      </c>
    </row>
    <row r="340" spans="1:13" ht="42.75" customHeight="1" x14ac:dyDescent="0.25">
      <c r="A340" s="230"/>
      <c r="B340" s="77" t="s">
        <v>118</v>
      </c>
      <c r="C340" s="42" t="s">
        <v>49</v>
      </c>
      <c r="D340" s="44">
        <v>46061</v>
      </c>
      <c r="E340" s="44">
        <v>46078</v>
      </c>
      <c r="F340" s="81"/>
      <c r="G340" s="68">
        <v>1200</v>
      </c>
      <c r="H340" s="4">
        <f t="shared" si="18"/>
        <v>3</v>
      </c>
      <c r="I340" s="234"/>
      <c r="J340" s="1" t="s">
        <v>249</v>
      </c>
    </row>
    <row r="341" spans="1:13" ht="42.75" customHeight="1" x14ac:dyDescent="0.25">
      <c r="A341" s="225"/>
      <c r="B341" s="226" t="s">
        <v>20</v>
      </c>
      <c r="C341" s="227"/>
      <c r="D341" s="227"/>
      <c r="E341" s="227"/>
      <c r="F341" s="228"/>
      <c r="G341" s="69">
        <f>SUM(G336:G340)</f>
        <v>6300</v>
      </c>
      <c r="H341" s="4"/>
      <c r="I341" s="234"/>
    </row>
    <row r="342" spans="1:13" ht="42.75" customHeight="1" x14ac:dyDescent="0.25">
      <c r="A342" s="224">
        <v>4</v>
      </c>
      <c r="B342" s="77" t="s">
        <v>50</v>
      </c>
      <c r="C342" s="42" t="s">
        <v>49</v>
      </c>
      <c r="D342" s="44">
        <v>46048</v>
      </c>
      <c r="E342" s="44">
        <v>46078</v>
      </c>
      <c r="F342" s="78">
        <v>49247</v>
      </c>
      <c r="G342" s="68">
        <f>+F342</f>
        <v>49247</v>
      </c>
      <c r="H342" s="4">
        <f t="shared" si="18"/>
        <v>16</v>
      </c>
      <c r="I342" s="234"/>
    </row>
    <row r="343" spans="1:13" ht="42.75" customHeight="1" x14ac:dyDescent="0.25">
      <c r="A343" s="230"/>
      <c r="B343" s="77" t="s">
        <v>50</v>
      </c>
      <c r="C343" s="42" t="s">
        <v>49</v>
      </c>
      <c r="D343" s="44">
        <v>46049</v>
      </c>
      <c r="E343" s="44">
        <v>46078</v>
      </c>
      <c r="F343" s="78"/>
      <c r="G343" s="68">
        <v>1000</v>
      </c>
      <c r="H343" s="4">
        <f t="shared" si="18"/>
        <v>15</v>
      </c>
      <c r="I343" s="234"/>
      <c r="J343" s="1" t="s">
        <v>250</v>
      </c>
      <c r="L343" s="1" t="s">
        <v>260</v>
      </c>
      <c r="M343" s="1" t="s">
        <v>262</v>
      </c>
    </row>
    <row r="344" spans="1:13" ht="42.75" customHeight="1" x14ac:dyDescent="0.25">
      <c r="A344" s="230"/>
      <c r="B344" s="77" t="s">
        <v>50</v>
      </c>
      <c r="C344" s="42" t="s">
        <v>49</v>
      </c>
      <c r="D344" s="44">
        <v>46048</v>
      </c>
      <c r="E344" s="44">
        <v>46078</v>
      </c>
      <c r="F344" s="78"/>
      <c r="G344" s="68">
        <v>1400</v>
      </c>
      <c r="H344" s="4">
        <f t="shared" si="18"/>
        <v>16</v>
      </c>
      <c r="I344" s="234"/>
      <c r="J344" s="1" t="s">
        <v>170</v>
      </c>
    </row>
    <row r="345" spans="1:13" ht="42.75" customHeight="1" x14ac:dyDescent="0.25">
      <c r="A345" s="230"/>
      <c r="B345" s="77" t="s">
        <v>50</v>
      </c>
      <c r="C345" s="42" t="s">
        <v>49</v>
      </c>
      <c r="D345" s="44">
        <v>46049</v>
      </c>
      <c r="E345" s="44">
        <v>46078</v>
      </c>
      <c r="F345" s="78"/>
      <c r="G345" s="68">
        <v>1100</v>
      </c>
      <c r="H345" s="4">
        <f t="shared" si="18"/>
        <v>15</v>
      </c>
      <c r="I345" s="234"/>
      <c r="J345" s="1" t="s">
        <v>247</v>
      </c>
    </row>
    <row r="346" spans="1:13" ht="42.75" customHeight="1" x14ac:dyDescent="0.25">
      <c r="A346" s="225"/>
      <c r="B346" s="211" t="s">
        <v>20</v>
      </c>
      <c r="C346" s="211"/>
      <c r="D346" s="211"/>
      <c r="E346" s="211"/>
      <c r="F346" s="211"/>
      <c r="G346" s="69">
        <f>SUM(G342:G345)</f>
        <v>52747</v>
      </c>
      <c r="H346" s="4"/>
      <c r="I346" s="234"/>
    </row>
    <row r="347" spans="1:13" ht="42.75" customHeight="1" x14ac:dyDescent="0.25">
      <c r="A347" s="224">
        <v>5</v>
      </c>
      <c r="B347" s="77" t="s">
        <v>126</v>
      </c>
      <c r="C347" s="42" t="s">
        <v>24</v>
      </c>
      <c r="D347" s="44">
        <v>46048</v>
      </c>
      <c r="E347" s="44">
        <v>46078</v>
      </c>
      <c r="F347" s="78">
        <v>31500</v>
      </c>
      <c r="G347" s="68">
        <f>+F347</f>
        <v>31500</v>
      </c>
      <c r="H347" s="4">
        <f t="shared" si="18"/>
        <v>16</v>
      </c>
      <c r="I347" s="234"/>
    </row>
    <row r="348" spans="1:13" ht="42.75" customHeight="1" x14ac:dyDescent="0.25">
      <c r="A348" s="230"/>
      <c r="B348" s="77" t="s">
        <v>126</v>
      </c>
      <c r="C348" s="42" t="s">
        <v>24</v>
      </c>
      <c r="D348" s="44">
        <v>46059</v>
      </c>
      <c r="E348" s="44">
        <v>46078</v>
      </c>
      <c r="F348" s="79"/>
      <c r="G348" s="68">
        <v>2000</v>
      </c>
      <c r="H348" s="4">
        <f t="shared" si="18"/>
        <v>5</v>
      </c>
      <c r="I348" s="234"/>
      <c r="J348" s="1" t="s">
        <v>168</v>
      </c>
    </row>
    <row r="349" spans="1:13" ht="42.75" customHeight="1" x14ac:dyDescent="0.25">
      <c r="A349" s="230"/>
      <c r="B349" s="77" t="s">
        <v>126</v>
      </c>
      <c r="C349" s="42" t="s">
        <v>24</v>
      </c>
      <c r="D349" s="44">
        <v>46059</v>
      </c>
      <c r="E349" s="44">
        <v>46078</v>
      </c>
      <c r="F349" s="79"/>
      <c r="G349" s="68">
        <v>2000</v>
      </c>
      <c r="H349" s="4">
        <f t="shared" si="18"/>
        <v>5</v>
      </c>
      <c r="I349" s="234"/>
      <c r="J349" s="1" t="s">
        <v>169</v>
      </c>
    </row>
    <row r="350" spans="1:13" ht="42.75" customHeight="1" x14ac:dyDescent="0.25">
      <c r="A350" s="225"/>
      <c r="B350" s="226" t="s">
        <v>20</v>
      </c>
      <c r="C350" s="227"/>
      <c r="D350" s="227"/>
      <c r="E350" s="227"/>
      <c r="F350" s="228"/>
      <c r="G350" s="69">
        <f>SUM(G347:G349)</f>
        <v>35500</v>
      </c>
      <c r="H350" s="4"/>
      <c r="I350" s="234"/>
    </row>
    <row r="351" spans="1:13" ht="42.75" customHeight="1" x14ac:dyDescent="0.25">
      <c r="A351" s="224">
        <v>6</v>
      </c>
      <c r="B351" s="77" t="s">
        <v>149</v>
      </c>
      <c r="C351" s="42" t="s">
        <v>24</v>
      </c>
      <c r="D351" s="44">
        <v>46048</v>
      </c>
      <c r="E351" s="44">
        <v>46078</v>
      </c>
      <c r="F351" s="78">
        <v>21040</v>
      </c>
      <c r="G351" s="68">
        <f>+F351</f>
        <v>21040</v>
      </c>
      <c r="H351" s="4">
        <f t="shared" si="18"/>
        <v>16</v>
      </c>
      <c r="I351" s="234"/>
    </row>
    <row r="352" spans="1:13" ht="42.75" customHeight="1" x14ac:dyDescent="0.25">
      <c r="A352" s="230"/>
      <c r="B352" s="77" t="s">
        <v>149</v>
      </c>
      <c r="C352" s="42" t="s">
        <v>24</v>
      </c>
      <c r="D352" s="44">
        <v>46059</v>
      </c>
      <c r="E352" s="44">
        <v>46078</v>
      </c>
      <c r="F352" s="79"/>
      <c r="G352" s="68">
        <v>1200</v>
      </c>
      <c r="H352" s="4">
        <f t="shared" si="18"/>
        <v>5</v>
      </c>
      <c r="I352" s="234"/>
      <c r="J352" s="1" t="s">
        <v>168</v>
      </c>
    </row>
    <row r="353" spans="1:13" ht="42.75" customHeight="1" x14ac:dyDescent="0.25">
      <c r="A353" s="230"/>
      <c r="B353" s="77" t="s">
        <v>149</v>
      </c>
      <c r="C353" s="42" t="s">
        <v>24</v>
      </c>
      <c r="D353" s="44">
        <v>46059</v>
      </c>
      <c r="E353" s="44">
        <v>46078</v>
      </c>
      <c r="F353" s="79"/>
      <c r="G353" s="68">
        <v>1200</v>
      </c>
      <c r="H353" s="4">
        <f t="shared" si="18"/>
        <v>5</v>
      </c>
      <c r="I353" s="234"/>
      <c r="J353" s="1" t="s">
        <v>169</v>
      </c>
    </row>
    <row r="354" spans="1:13" ht="42.75" customHeight="1" x14ac:dyDescent="0.25">
      <c r="A354" s="230"/>
      <c r="B354" s="77" t="s">
        <v>149</v>
      </c>
      <c r="C354" s="42" t="s">
        <v>24</v>
      </c>
      <c r="D354" s="44">
        <v>46061</v>
      </c>
      <c r="E354" s="44">
        <v>46078</v>
      </c>
      <c r="F354" s="79"/>
      <c r="G354" s="70">
        <v>400</v>
      </c>
      <c r="H354" s="4">
        <f t="shared" si="18"/>
        <v>3</v>
      </c>
      <c r="I354" s="234"/>
      <c r="J354" s="1" t="s">
        <v>248</v>
      </c>
      <c r="L354" s="1" t="s">
        <v>261</v>
      </c>
      <c r="M354" s="1" t="s">
        <v>262</v>
      </c>
    </row>
    <row r="355" spans="1:13" ht="42.75" customHeight="1" x14ac:dyDescent="0.25">
      <c r="A355" s="225"/>
      <c r="B355" s="226" t="s">
        <v>20</v>
      </c>
      <c r="C355" s="227"/>
      <c r="D355" s="227"/>
      <c r="E355" s="227"/>
      <c r="F355" s="228"/>
      <c r="G355" s="69">
        <f>SUM(G351:G354)</f>
        <v>23840</v>
      </c>
      <c r="H355" s="4"/>
      <c r="I355" s="234"/>
    </row>
    <row r="356" spans="1:13" ht="42.75" customHeight="1" x14ac:dyDescent="0.25">
      <c r="A356" s="224">
        <v>7</v>
      </c>
      <c r="B356" s="77" t="s">
        <v>0</v>
      </c>
      <c r="C356" s="42" t="s">
        <v>24</v>
      </c>
      <c r="D356" s="44">
        <v>46048</v>
      </c>
      <c r="E356" s="44">
        <v>46078</v>
      </c>
      <c r="F356" s="78">
        <v>211247</v>
      </c>
      <c r="G356" s="68">
        <f>+F356</f>
        <v>211247</v>
      </c>
      <c r="H356" s="4">
        <f t="shared" si="18"/>
        <v>16</v>
      </c>
      <c r="I356" s="234"/>
    </row>
    <row r="357" spans="1:13" ht="42.75" customHeight="1" x14ac:dyDescent="0.25">
      <c r="A357" s="230"/>
      <c r="B357" s="77" t="s">
        <v>0</v>
      </c>
      <c r="C357" s="42" t="s">
        <v>24</v>
      </c>
      <c r="D357" s="44">
        <v>46049</v>
      </c>
      <c r="E357" s="44">
        <v>46078</v>
      </c>
      <c r="F357" s="78"/>
      <c r="G357" s="68">
        <v>4620</v>
      </c>
      <c r="H357" s="4">
        <f t="shared" si="18"/>
        <v>15</v>
      </c>
      <c r="I357" s="234"/>
      <c r="J357" s="1" t="s">
        <v>250</v>
      </c>
      <c r="L357" s="1" t="s">
        <v>260</v>
      </c>
      <c r="M357" s="1" t="s">
        <v>262</v>
      </c>
    </row>
    <row r="358" spans="1:13" ht="42.75" customHeight="1" x14ac:dyDescent="0.25">
      <c r="A358" s="230"/>
      <c r="B358" s="77" t="s">
        <v>0</v>
      </c>
      <c r="C358" s="42" t="s">
        <v>24</v>
      </c>
      <c r="D358" s="44">
        <v>46048</v>
      </c>
      <c r="E358" s="44">
        <v>46078</v>
      </c>
      <c r="F358" s="78"/>
      <c r="G358" s="68">
        <v>3696</v>
      </c>
      <c r="H358" s="4">
        <f t="shared" si="18"/>
        <v>16</v>
      </c>
      <c r="I358" s="234"/>
      <c r="J358" s="1" t="s">
        <v>170</v>
      </c>
    </row>
    <row r="359" spans="1:13" ht="42.75" customHeight="1" x14ac:dyDescent="0.25">
      <c r="A359" s="230"/>
      <c r="B359" s="77" t="s">
        <v>0</v>
      </c>
      <c r="C359" s="42" t="s">
        <v>24</v>
      </c>
      <c r="D359" s="44">
        <v>46049</v>
      </c>
      <c r="E359" s="44">
        <v>46078</v>
      </c>
      <c r="F359" s="78"/>
      <c r="G359" s="68">
        <v>1386</v>
      </c>
      <c r="H359" s="4">
        <f t="shared" si="18"/>
        <v>15</v>
      </c>
      <c r="I359" s="234"/>
      <c r="J359" s="1" t="s">
        <v>247</v>
      </c>
    </row>
    <row r="360" spans="1:13" ht="42.75" customHeight="1" x14ac:dyDescent="0.25">
      <c r="A360" s="230"/>
      <c r="B360" s="77" t="s">
        <v>0</v>
      </c>
      <c r="C360" s="42" t="s">
        <v>24</v>
      </c>
      <c r="D360" s="44">
        <v>46059</v>
      </c>
      <c r="E360" s="44">
        <v>46078</v>
      </c>
      <c r="F360" s="78"/>
      <c r="G360" s="68">
        <v>3696</v>
      </c>
      <c r="H360" s="4">
        <f t="shared" si="18"/>
        <v>5</v>
      </c>
      <c r="I360" s="234"/>
      <c r="J360" s="1" t="s">
        <v>168</v>
      </c>
    </row>
    <row r="361" spans="1:13" ht="42.75" customHeight="1" x14ac:dyDescent="0.25">
      <c r="A361" s="230"/>
      <c r="B361" s="77" t="s">
        <v>0</v>
      </c>
      <c r="C361" s="42" t="s">
        <v>24</v>
      </c>
      <c r="D361" s="44">
        <v>46059</v>
      </c>
      <c r="E361" s="44">
        <v>46078</v>
      </c>
      <c r="F361" s="78"/>
      <c r="G361" s="68">
        <v>3696</v>
      </c>
      <c r="H361" s="4">
        <f t="shared" si="18"/>
        <v>5</v>
      </c>
      <c r="I361" s="234"/>
      <c r="J361" s="1" t="s">
        <v>169</v>
      </c>
    </row>
    <row r="362" spans="1:13" ht="42.75" customHeight="1" x14ac:dyDescent="0.25">
      <c r="A362" s="230"/>
      <c r="B362" s="77" t="s">
        <v>0</v>
      </c>
      <c r="C362" s="42" t="s">
        <v>24</v>
      </c>
      <c r="D362" s="44">
        <v>46061</v>
      </c>
      <c r="E362" s="44">
        <v>46078</v>
      </c>
      <c r="F362" s="78"/>
      <c r="G362" s="68">
        <v>3696</v>
      </c>
      <c r="H362" s="4">
        <f t="shared" si="18"/>
        <v>3</v>
      </c>
      <c r="I362" s="234"/>
      <c r="J362" s="1" t="s">
        <v>248</v>
      </c>
      <c r="L362" s="1" t="s">
        <v>261</v>
      </c>
      <c r="M362" s="1" t="s">
        <v>262</v>
      </c>
    </row>
    <row r="363" spans="1:13" ht="42.75" customHeight="1" x14ac:dyDescent="0.25">
      <c r="A363" s="230"/>
      <c r="B363" s="77" t="s">
        <v>0</v>
      </c>
      <c r="C363" s="42" t="s">
        <v>24</v>
      </c>
      <c r="D363" s="44">
        <v>46061</v>
      </c>
      <c r="E363" s="44">
        <v>46078</v>
      </c>
      <c r="F363" s="78"/>
      <c r="G363" s="68">
        <v>3696</v>
      </c>
      <c r="H363" s="4">
        <f t="shared" si="18"/>
        <v>3</v>
      </c>
      <c r="I363" s="234"/>
      <c r="J363" s="1" t="s">
        <v>249</v>
      </c>
    </row>
    <row r="364" spans="1:13" ht="42.75" customHeight="1" x14ac:dyDescent="0.25">
      <c r="A364" s="225"/>
      <c r="B364" s="226" t="s">
        <v>20</v>
      </c>
      <c r="C364" s="227"/>
      <c r="D364" s="227"/>
      <c r="E364" s="227"/>
      <c r="F364" s="228"/>
      <c r="G364" s="69">
        <f>SUM(G356:G363)</f>
        <v>235733</v>
      </c>
      <c r="H364" s="4"/>
      <c r="I364" s="234"/>
    </row>
    <row r="365" spans="1:13" ht="42.75" customHeight="1" x14ac:dyDescent="0.25">
      <c r="A365" s="224">
        <v>8</v>
      </c>
      <c r="B365" s="77" t="s">
        <v>150</v>
      </c>
      <c r="C365" s="42" t="s">
        <v>24</v>
      </c>
      <c r="D365" s="44">
        <v>46048</v>
      </c>
      <c r="E365" s="44">
        <v>46078</v>
      </c>
      <c r="F365" s="69">
        <v>32150</v>
      </c>
      <c r="G365" s="70">
        <f>+F365</f>
        <v>32150</v>
      </c>
      <c r="H365" s="4">
        <f t="shared" si="18"/>
        <v>16</v>
      </c>
      <c r="I365" s="234"/>
    </row>
    <row r="366" spans="1:13" ht="42.75" customHeight="1" x14ac:dyDescent="0.25">
      <c r="A366" s="230"/>
      <c r="B366" s="77" t="s">
        <v>150</v>
      </c>
      <c r="C366" s="42" t="s">
        <v>24</v>
      </c>
      <c r="D366" s="44">
        <v>46049</v>
      </c>
      <c r="E366" s="44">
        <v>46078</v>
      </c>
      <c r="F366" s="79"/>
      <c r="G366" s="70">
        <v>1000</v>
      </c>
      <c r="H366" s="4">
        <f t="shared" si="18"/>
        <v>15</v>
      </c>
      <c r="I366" s="234"/>
      <c r="J366" s="1" t="s">
        <v>247</v>
      </c>
    </row>
    <row r="367" spans="1:13" ht="42.75" customHeight="1" x14ac:dyDescent="0.25">
      <c r="A367" s="225"/>
      <c r="B367" s="226" t="s">
        <v>20</v>
      </c>
      <c r="C367" s="227"/>
      <c r="D367" s="227"/>
      <c r="E367" s="227"/>
      <c r="F367" s="228"/>
      <c r="G367" s="69">
        <f>SUM(G365:G366)</f>
        <v>33150</v>
      </c>
      <c r="H367" s="4"/>
      <c r="I367" s="234"/>
    </row>
    <row r="368" spans="1:13" ht="42.75" customHeight="1" x14ac:dyDescent="0.25">
      <c r="A368" s="224">
        <v>9</v>
      </c>
      <c r="B368" s="77" t="s">
        <v>151</v>
      </c>
      <c r="C368" s="42" t="s">
        <v>24</v>
      </c>
      <c r="D368" s="44">
        <v>46048</v>
      </c>
      <c r="E368" s="44">
        <v>46078</v>
      </c>
      <c r="F368" s="78">
        <v>29350</v>
      </c>
      <c r="G368" s="68">
        <f>+F368</f>
        <v>29350</v>
      </c>
      <c r="H368" s="4">
        <f t="shared" si="18"/>
        <v>16</v>
      </c>
      <c r="I368" s="234"/>
    </row>
    <row r="369" spans="1:13" ht="42.75" customHeight="1" x14ac:dyDescent="0.25">
      <c r="A369" s="230"/>
      <c r="B369" s="77" t="s">
        <v>151</v>
      </c>
      <c r="C369" s="42" t="s">
        <v>24</v>
      </c>
      <c r="D369" s="44">
        <v>46048</v>
      </c>
      <c r="E369" s="44">
        <v>46078</v>
      </c>
      <c r="F369" s="78"/>
      <c r="G369" s="68">
        <v>500</v>
      </c>
      <c r="H369" s="4">
        <f t="shared" si="18"/>
        <v>16</v>
      </c>
      <c r="I369" s="234"/>
      <c r="J369" s="1" t="s">
        <v>170</v>
      </c>
    </row>
    <row r="370" spans="1:13" ht="42.75" customHeight="1" x14ac:dyDescent="0.25">
      <c r="A370" s="230"/>
      <c r="B370" s="77" t="s">
        <v>151</v>
      </c>
      <c r="C370" s="42" t="s">
        <v>24</v>
      </c>
      <c r="D370" s="44">
        <v>46059</v>
      </c>
      <c r="E370" s="44">
        <v>46078</v>
      </c>
      <c r="F370" s="78"/>
      <c r="G370" s="68">
        <v>750</v>
      </c>
      <c r="H370" s="4">
        <f t="shared" si="18"/>
        <v>5</v>
      </c>
      <c r="I370" s="234"/>
      <c r="J370" s="1" t="s">
        <v>168</v>
      </c>
    </row>
    <row r="371" spans="1:13" ht="42.75" customHeight="1" x14ac:dyDescent="0.25">
      <c r="A371" s="230"/>
      <c r="B371" s="77" t="s">
        <v>151</v>
      </c>
      <c r="C371" s="42" t="s">
        <v>24</v>
      </c>
      <c r="D371" s="44">
        <v>46059</v>
      </c>
      <c r="E371" s="44">
        <v>46078</v>
      </c>
      <c r="F371" s="78"/>
      <c r="G371" s="68">
        <v>750</v>
      </c>
      <c r="H371" s="4">
        <f t="shared" si="18"/>
        <v>5</v>
      </c>
      <c r="I371" s="234"/>
      <c r="J371" s="1" t="s">
        <v>169</v>
      </c>
    </row>
    <row r="372" spans="1:13" ht="42.75" customHeight="1" x14ac:dyDescent="0.25">
      <c r="A372" s="230"/>
      <c r="B372" s="77" t="s">
        <v>151</v>
      </c>
      <c r="C372" s="42" t="s">
        <v>24</v>
      </c>
      <c r="D372" s="44">
        <v>46061</v>
      </c>
      <c r="E372" s="44">
        <v>46078</v>
      </c>
      <c r="F372" s="78"/>
      <c r="G372" s="68">
        <v>500</v>
      </c>
      <c r="H372" s="4">
        <f t="shared" si="18"/>
        <v>3</v>
      </c>
      <c r="I372" s="234"/>
      <c r="J372" s="1" t="s">
        <v>248</v>
      </c>
      <c r="L372" s="1" t="s">
        <v>261</v>
      </c>
      <c r="M372" s="1" t="s">
        <v>262</v>
      </c>
    </row>
    <row r="373" spans="1:13" ht="42.75" customHeight="1" x14ac:dyDescent="0.25">
      <c r="A373" s="225"/>
      <c r="B373" s="226" t="s">
        <v>20</v>
      </c>
      <c r="C373" s="227"/>
      <c r="D373" s="227"/>
      <c r="E373" s="227"/>
      <c r="F373" s="228"/>
      <c r="G373" s="69">
        <f>SUM(G368:G372)</f>
        <v>31850</v>
      </c>
      <c r="H373" s="4"/>
      <c r="I373" s="234"/>
    </row>
    <row r="374" spans="1:13" ht="42.75" customHeight="1" x14ac:dyDescent="0.25">
      <c r="A374" s="224">
        <v>10</v>
      </c>
      <c r="B374" s="77" t="s">
        <v>171</v>
      </c>
      <c r="C374" s="42" t="s">
        <v>24</v>
      </c>
      <c r="D374" s="44">
        <v>46048</v>
      </c>
      <c r="E374" s="44">
        <v>46078</v>
      </c>
      <c r="F374" s="78">
        <v>1000</v>
      </c>
      <c r="G374" s="68">
        <f>+F374</f>
        <v>1000</v>
      </c>
      <c r="H374" s="4">
        <f t="shared" si="18"/>
        <v>16</v>
      </c>
      <c r="I374" s="234"/>
    </row>
    <row r="375" spans="1:13" ht="42.75" customHeight="1" x14ac:dyDescent="0.25">
      <c r="A375" s="225"/>
      <c r="B375" s="226" t="s">
        <v>20</v>
      </c>
      <c r="C375" s="227"/>
      <c r="D375" s="227"/>
      <c r="E375" s="227"/>
      <c r="F375" s="228"/>
      <c r="G375" s="69">
        <f>SUM(G374:G374)</f>
        <v>1000</v>
      </c>
      <c r="H375" s="8"/>
      <c r="I375" s="235"/>
    </row>
    <row r="376" spans="1:13" ht="42.75" customHeight="1" x14ac:dyDescent="0.25">
      <c r="A376" s="59" t="str">
        <f>ROMAN(2,0)</f>
        <v>II</v>
      </c>
      <c r="B376" s="22" t="s">
        <v>56</v>
      </c>
      <c r="C376" s="59"/>
      <c r="D376" s="59"/>
      <c r="E376" s="59"/>
      <c r="F376" s="59"/>
      <c r="G376" s="69"/>
      <c r="H376" s="8"/>
      <c r="I376" s="8"/>
    </row>
    <row r="377" spans="1:13" ht="42.75" customHeight="1" x14ac:dyDescent="0.25">
      <c r="A377" s="42">
        <v>1</v>
      </c>
      <c r="B377" s="80" t="s">
        <v>58</v>
      </c>
      <c r="C377" s="42" t="s">
        <v>57</v>
      </c>
      <c r="D377" s="42"/>
      <c r="E377" s="59"/>
      <c r="F377" s="79">
        <v>54</v>
      </c>
      <c r="G377" s="79">
        <v>7</v>
      </c>
      <c r="H377" s="4"/>
      <c r="I377" s="23"/>
    </row>
    <row r="378" spans="1:13" ht="42.75" customHeight="1" x14ac:dyDescent="0.25">
      <c r="A378" s="42">
        <v>2</v>
      </c>
      <c r="B378" s="80" t="s">
        <v>73</v>
      </c>
      <c r="C378" s="42" t="s">
        <v>57</v>
      </c>
      <c r="D378" s="42"/>
      <c r="E378" s="59"/>
      <c r="F378" s="79">
        <v>1</v>
      </c>
      <c r="G378" s="79"/>
      <c r="H378" s="8"/>
      <c r="I378" s="23"/>
    </row>
    <row r="379" spans="1:13" x14ac:dyDescent="0.25">
      <c r="F379" s="84"/>
    </row>
    <row r="380" spans="1:13" x14ac:dyDescent="0.25">
      <c r="A380" s="5" t="s">
        <v>60</v>
      </c>
    </row>
    <row r="381" spans="1:13" x14ac:dyDescent="0.25">
      <c r="A381" s="236" t="s">
        <v>21</v>
      </c>
      <c r="B381" s="236"/>
      <c r="C381" s="236"/>
      <c r="D381" s="236"/>
      <c r="E381" s="236" t="s">
        <v>22</v>
      </c>
      <c r="F381" s="236"/>
      <c r="G381" s="236"/>
      <c r="H381" s="236"/>
      <c r="I381" s="236"/>
    </row>
    <row r="387" spans="1:9" ht="15.75" x14ac:dyDescent="0.25">
      <c r="A387" s="197" t="s">
        <v>1</v>
      </c>
      <c r="B387" s="197"/>
      <c r="C387" s="197"/>
      <c r="D387" s="197"/>
      <c r="E387" s="197"/>
      <c r="F387" s="197"/>
      <c r="G387" s="197"/>
      <c r="H387" s="197"/>
      <c r="I387" s="197"/>
    </row>
    <row r="388" spans="1:9" ht="15.75" x14ac:dyDescent="0.25">
      <c r="A388" s="197" t="s">
        <v>2</v>
      </c>
      <c r="B388" s="197"/>
      <c r="C388" s="197"/>
      <c r="D388" s="197"/>
      <c r="E388" s="197"/>
      <c r="F388" s="197"/>
      <c r="G388" s="197"/>
      <c r="H388" s="197"/>
      <c r="I388" s="197"/>
    </row>
    <row r="389" spans="1:9" ht="15" x14ac:dyDescent="0.25">
      <c r="A389" s="18"/>
      <c r="B389" s="18"/>
      <c r="C389" s="18"/>
      <c r="D389" s="18"/>
      <c r="E389" s="18"/>
      <c r="F389" s="18"/>
      <c r="G389" s="18"/>
      <c r="H389" s="18"/>
      <c r="I389" s="18"/>
    </row>
    <row r="390" spans="1:9" ht="20.25" x14ac:dyDescent="0.25">
      <c r="A390" s="204" t="s">
        <v>132</v>
      </c>
      <c r="B390" s="204"/>
      <c r="C390" s="204"/>
      <c r="D390" s="204"/>
      <c r="E390" s="204"/>
      <c r="F390" s="204"/>
      <c r="G390" s="204"/>
      <c r="H390" s="204"/>
      <c r="I390" s="204"/>
    </row>
    <row r="391" spans="1:9" ht="15.75" x14ac:dyDescent="0.25">
      <c r="A391" s="197" t="s">
        <v>264</v>
      </c>
      <c r="B391" s="197"/>
      <c r="C391" s="197"/>
      <c r="D391" s="197"/>
      <c r="E391" s="197"/>
      <c r="F391" s="197"/>
      <c r="G391" s="197"/>
      <c r="H391" s="197"/>
      <c r="I391" s="197"/>
    </row>
    <row r="392" spans="1:9" ht="15.75" x14ac:dyDescent="0.25">
      <c r="A392" s="60"/>
      <c r="B392" s="60"/>
      <c r="C392" s="60"/>
      <c r="D392" s="60"/>
      <c r="E392" s="60"/>
      <c r="F392" s="60"/>
      <c r="G392" s="60"/>
      <c r="H392" s="60"/>
      <c r="I392" s="60"/>
    </row>
    <row r="393" spans="1:9" ht="32.25" customHeight="1" x14ac:dyDescent="0.25">
      <c r="A393" s="219" t="str">
        <f>'Giá trị'!$A$7:$K$7</f>
        <v>- Căn cứ Hợp đồng kinh tế số 0412/HĐKT2025/TP-VIETPANEL ký ngày 04/12/2025 giữa Công ty TNHH xây dựng Việt Panel và Công ty Cổ phần Tập đoàn Thiết bị xây dựng TP về việc cho thuê thiết bị xây dựng.</v>
      </c>
      <c r="B393" s="219"/>
      <c r="C393" s="219"/>
      <c r="D393" s="219"/>
      <c r="E393" s="219"/>
      <c r="F393" s="219"/>
      <c r="G393" s="219"/>
      <c r="H393" s="219"/>
      <c r="I393" s="219"/>
    </row>
    <row r="394" spans="1:9" x14ac:dyDescent="0.25">
      <c r="A394" s="6" t="s">
        <v>51</v>
      </c>
      <c r="B394" s="5" t="str">
        <f>'Giá trị'!$B$8</f>
        <v>Senci</v>
      </c>
      <c r="C394" s="30"/>
      <c r="D394" s="30"/>
      <c r="E394" s="30"/>
    </row>
    <row r="395" spans="1:9" x14ac:dyDescent="0.25">
      <c r="A395" s="6" t="s">
        <v>59</v>
      </c>
      <c r="B395" s="6" t="str">
        <f>'Giá trị'!$B$9</f>
        <v>KCN Phúc Điền, Hải Dương</v>
      </c>
      <c r="C395" s="30"/>
      <c r="D395" s="30"/>
      <c r="E395" s="30"/>
    </row>
    <row r="396" spans="1:9" x14ac:dyDescent="0.25">
      <c r="A396" s="6" t="s">
        <v>3</v>
      </c>
      <c r="C396" s="30"/>
      <c r="D396" s="30"/>
      <c r="E396" s="30"/>
    </row>
    <row r="397" spans="1:9" x14ac:dyDescent="0.25">
      <c r="A397" s="5" t="s">
        <v>172</v>
      </c>
      <c r="C397" s="30"/>
      <c r="D397" s="30"/>
      <c r="E397" s="30"/>
    </row>
    <row r="398" spans="1:9" x14ac:dyDescent="0.25">
      <c r="A398" s="7" t="str">
        <f>'Giá trị'!$A$12</f>
        <v>BÊN THUÊ (BÊN A): CÔNG TY TNHH XÂY DỰNG VIỆT PANEL</v>
      </c>
      <c r="B398" s="7"/>
      <c r="C398" s="40"/>
      <c r="D398" s="40"/>
      <c r="E398" s="40"/>
      <c r="F398" s="7"/>
      <c r="G398" s="7"/>
      <c r="H398" s="7"/>
      <c r="I398" s="7"/>
    </row>
    <row r="399" spans="1:9" x14ac:dyDescent="0.25">
      <c r="A399" s="5" t="s">
        <v>125</v>
      </c>
      <c r="B399" s="5" t="str">
        <f>'Giá trị'!$B$13</f>
        <v>Thôn Đông Phù, Xã Tiên Du, Tỉnh Bắc Ninh, Việt Nam</v>
      </c>
      <c r="C399" s="30"/>
      <c r="D399" s="30"/>
      <c r="E399" s="30"/>
    </row>
    <row r="400" spans="1:9" x14ac:dyDescent="0.25">
      <c r="A400" s="5" t="s">
        <v>5</v>
      </c>
      <c r="C400" s="198" t="str">
        <f>'Giá trị'!$C$14:$D$14</f>
        <v>0222 6535 699</v>
      </c>
      <c r="D400" s="208"/>
    </row>
    <row r="401" spans="1:13" x14ac:dyDescent="0.25">
      <c r="A401" s="5" t="s">
        <v>4</v>
      </c>
      <c r="C401" s="209">
        <f>'Giá trị'!$C$15:$D$15</f>
        <v>616139999</v>
      </c>
      <c r="D401" s="209"/>
      <c r="E401" s="41" t="str">
        <f>'Giá trị'!$E$15</f>
        <v>Tại MB Ngân hàng quân đội</v>
      </c>
    </row>
    <row r="402" spans="1:13" x14ac:dyDescent="0.25">
      <c r="A402" s="5" t="s">
        <v>6</v>
      </c>
      <c r="B402" s="6"/>
      <c r="C402" s="198" t="str">
        <f>'Giá trị'!$C$16:$D$16</f>
        <v>2300856941</v>
      </c>
      <c r="D402" s="198"/>
      <c r="E402" s="6"/>
      <c r="F402" s="6"/>
    </row>
    <row r="403" spans="1:13" x14ac:dyDescent="0.25">
      <c r="A403" s="5" t="s">
        <v>7</v>
      </c>
      <c r="C403" s="7" t="str">
        <f>'Giá trị'!$C$17</f>
        <v>Ông Lưu Đình Cải</v>
      </c>
      <c r="D403" s="40"/>
      <c r="E403" s="5" t="str">
        <f>'Giá trị'!$E$17</f>
        <v>Chức vụ: Giám đốc</v>
      </c>
    </row>
    <row r="404" spans="1:13" x14ac:dyDescent="0.25">
      <c r="C404" s="30"/>
      <c r="D404" s="30"/>
      <c r="E404" s="30"/>
    </row>
    <row r="405" spans="1:13" x14ac:dyDescent="0.25">
      <c r="A405" s="7" t="s">
        <v>8</v>
      </c>
      <c r="B405" s="7"/>
      <c r="C405" s="40"/>
      <c r="D405" s="40"/>
      <c r="E405" s="40"/>
      <c r="F405" s="7"/>
      <c r="G405" s="7"/>
      <c r="H405" s="7"/>
      <c r="I405" s="7"/>
    </row>
    <row r="406" spans="1:13" x14ac:dyDescent="0.25">
      <c r="A406" s="5" t="s">
        <v>115</v>
      </c>
      <c r="C406" s="30"/>
      <c r="D406" s="30"/>
      <c r="E406" s="30"/>
    </row>
    <row r="407" spans="1:13" x14ac:dyDescent="0.25">
      <c r="A407" s="5" t="s">
        <v>5</v>
      </c>
      <c r="C407" s="6" t="s">
        <v>9</v>
      </c>
      <c r="D407" s="24"/>
      <c r="E407" s="30"/>
    </row>
    <row r="408" spans="1:13" x14ac:dyDescent="0.25">
      <c r="A408" s="5" t="s">
        <v>10</v>
      </c>
      <c r="C408" s="32" t="str">
        <f>'Giá trị'!$C$22</f>
        <v>8331100096008</v>
      </c>
      <c r="D408" s="17"/>
      <c r="E408" s="201" t="str">
        <f>$E$22</f>
        <v>Tại Ngân hàng Thương mại cổ phần Quân đội - Chi nhánh Hoàng Quốc Việt</v>
      </c>
      <c r="F408" s="201"/>
      <c r="G408" s="201"/>
      <c r="H408" s="201"/>
      <c r="I408" s="201"/>
    </row>
    <row r="409" spans="1:13" x14ac:dyDescent="0.25">
      <c r="A409" s="5" t="s">
        <v>6</v>
      </c>
      <c r="C409" s="6" t="s">
        <v>19</v>
      </c>
      <c r="D409" s="24"/>
      <c r="E409" s="41"/>
    </row>
    <row r="410" spans="1:13" x14ac:dyDescent="0.25">
      <c r="A410" s="5" t="s">
        <v>7</v>
      </c>
      <c r="C410" s="7" t="s">
        <v>116</v>
      </c>
      <c r="D410" s="40"/>
      <c r="E410" s="41" t="s">
        <v>117</v>
      </c>
    </row>
    <row r="411" spans="1:13" x14ac:dyDescent="0.25">
      <c r="C411" s="30"/>
      <c r="D411" s="30"/>
      <c r="E411" s="30"/>
    </row>
    <row r="412" spans="1:13" x14ac:dyDescent="0.25">
      <c r="A412" s="5" t="s">
        <v>269</v>
      </c>
      <c r="C412" s="30"/>
      <c r="D412" s="30"/>
      <c r="E412" s="30"/>
    </row>
    <row r="413" spans="1:13" ht="49.5" x14ac:dyDescent="0.25">
      <c r="A413" s="3" t="s">
        <v>12</v>
      </c>
      <c r="B413" s="3" t="s">
        <v>13</v>
      </c>
      <c r="C413" s="3" t="s">
        <v>23</v>
      </c>
      <c r="D413" s="3" t="s">
        <v>61</v>
      </c>
      <c r="E413" s="3" t="s">
        <v>14</v>
      </c>
      <c r="F413" s="3" t="s">
        <v>15</v>
      </c>
      <c r="G413" s="3" t="s">
        <v>16</v>
      </c>
      <c r="H413" s="3" t="s">
        <v>62</v>
      </c>
      <c r="I413" s="3" t="s">
        <v>18</v>
      </c>
      <c r="J413" s="72">
        <f>+G416+G420+G426+G428+G430+G432+G435+G437+G439+G441</f>
        <v>487292</v>
      </c>
      <c r="K413" s="72">
        <f>+G416+G420+G426+G428+G430+G432+G435+G437+G439+G441</f>
        <v>487292</v>
      </c>
      <c r="L413" s="27"/>
      <c r="M413" s="72"/>
    </row>
    <row r="414" spans="1:13" ht="42.75" customHeight="1" x14ac:dyDescent="0.25">
      <c r="A414" s="3" t="str">
        <f>ROMAN(1,0)</f>
        <v>I</v>
      </c>
      <c r="B414" s="21" t="s">
        <v>55</v>
      </c>
      <c r="C414" s="3"/>
      <c r="D414" s="3"/>
      <c r="E414" s="3"/>
      <c r="F414" s="3"/>
      <c r="G414" s="3"/>
      <c r="H414" s="3"/>
      <c r="I414" s="3"/>
      <c r="M414" s="72"/>
    </row>
    <row r="415" spans="1:13" ht="42.75" customHeight="1" x14ac:dyDescent="0.25">
      <c r="A415" s="229">
        <v>1</v>
      </c>
      <c r="B415" s="77" t="s">
        <v>148</v>
      </c>
      <c r="C415" s="42" t="s">
        <v>49</v>
      </c>
      <c r="D415" s="44">
        <v>46079</v>
      </c>
      <c r="E415" s="44">
        <v>46106</v>
      </c>
      <c r="F415" s="78">
        <v>21400</v>
      </c>
      <c r="G415" s="68">
        <f>+F415</f>
        <v>21400</v>
      </c>
      <c r="H415" s="4">
        <f>E415-D415+1</f>
        <v>28</v>
      </c>
      <c r="I415" s="3"/>
    </row>
    <row r="416" spans="1:13" ht="42.75" customHeight="1" x14ac:dyDescent="0.25">
      <c r="A416" s="229"/>
      <c r="B416" s="226" t="s">
        <v>20</v>
      </c>
      <c r="C416" s="227"/>
      <c r="D416" s="227"/>
      <c r="E416" s="227"/>
      <c r="F416" s="228"/>
      <c r="G416" s="69">
        <f>SUM(G415:G415)</f>
        <v>21400</v>
      </c>
      <c r="H416" s="4"/>
      <c r="I416" s="3"/>
    </row>
    <row r="417" spans="1:13" ht="42.75" customHeight="1" x14ac:dyDescent="0.25">
      <c r="A417" s="224">
        <v>2</v>
      </c>
      <c r="B417" s="77" t="s">
        <v>122</v>
      </c>
      <c r="C417" s="42" t="s">
        <v>49</v>
      </c>
      <c r="D417" s="44">
        <v>46079</v>
      </c>
      <c r="E417" s="44">
        <v>46106</v>
      </c>
      <c r="F417" s="78">
        <v>32300</v>
      </c>
      <c r="G417" s="68">
        <v>32300</v>
      </c>
      <c r="H417" s="4">
        <f t="shared" ref="H417:H440" si="19">E417-D417+1</f>
        <v>28</v>
      </c>
      <c r="I417" s="3"/>
    </row>
    <row r="418" spans="1:13" ht="42.75" customHeight="1" x14ac:dyDescent="0.25">
      <c r="A418" s="230"/>
      <c r="B418" s="77" t="s">
        <v>122</v>
      </c>
      <c r="C418" s="42" t="s">
        <v>49</v>
      </c>
      <c r="D418" s="44">
        <v>46081</v>
      </c>
      <c r="E418" s="44">
        <v>46106</v>
      </c>
      <c r="F418" s="78"/>
      <c r="G418" s="68">
        <v>400</v>
      </c>
      <c r="H418" s="4">
        <f t="shared" si="19"/>
        <v>26</v>
      </c>
      <c r="I418" s="3"/>
    </row>
    <row r="419" spans="1:13" ht="42.75" customHeight="1" x14ac:dyDescent="0.25">
      <c r="A419" s="230"/>
      <c r="B419" s="77" t="s">
        <v>122</v>
      </c>
      <c r="C419" s="42" t="s">
        <v>49</v>
      </c>
      <c r="D419" s="44">
        <v>46082</v>
      </c>
      <c r="E419" s="44">
        <v>46106</v>
      </c>
      <c r="F419" s="78"/>
      <c r="G419" s="68">
        <v>1800</v>
      </c>
      <c r="H419" s="4">
        <f t="shared" si="19"/>
        <v>25</v>
      </c>
      <c r="I419" s="3"/>
      <c r="M419" s="1" t="s">
        <v>262</v>
      </c>
    </row>
    <row r="420" spans="1:13" ht="42.75" customHeight="1" x14ac:dyDescent="0.25">
      <c r="A420" s="225"/>
      <c r="B420" s="226" t="s">
        <v>20</v>
      </c>
      <c r="C420" s="227"/>
      <c r="D420" s="227"/>
      <c r="E420" s="227"/>
      <c r="F420" s="228"/>
      <c r="G420" s="69">
        <f>SUM(G417:G419)</f>
        <v>34500</v>
      </c>
      <c r="H420" s="4"/>
      <c r="I420" s="3"/>
    </row>
    <row r="421" spans="1:13" ht="42.75" customHeight="1" x14ac:dyDescent="0.25">
      <c r="A421" s="224">
        <v>3</v>
      </c>
      <c r="B421" s="77" t="s">
        <v>118</v>
      </c>
      <c r="C421" s="42" t="s">
        <v>49</v>
      </c>
      <c r="D421" s="44">
        <v>46079</v>
      </c>
      <c r="E421" s="44">
        <v>46106</v>
      </c>
      <c r="F421" s="78">
        <v>6300</v>
      </c>
      <c r="G421" s="68">
        <v>6300</v>
      </c>
      <c r="H421" s="4">
        <f t="shared" si="19"/>
        <v>28</v>
      </c>
      <c r="I421" s="3"/>
    </row>
    <row r="422" spans="1:13" ht="42.75" customHeight="1" x14ac:dyDescent="0.25">
      <c r="A422" s="230"/>
      <c r="B422" s="77" t="s">
        <v>118</v>
      </c>
      <c r="C422" s="42" t="s">
        <v>49</v>
      </c>
      <c r="D422" s="44">
        <v>46081</v>
      </c>
      <c r="E422" s="44">
        <v>46106</v>
      </c>
      <c r="F422" s="81"/>
      <c r="G422" s="68">
        <v>1900</v>
      </c>
      <c r="H422" s="4">
        <f t="shared" si="19"/>
        <v>26</v>
      </c>
      <c r="I422" s="3"/>
    </row>
    <row r="423" spans="1:13" ht="42.75" customHeight="1" x14ac:dyDescent="0.25">
      <c r="A423" s="230"/>
      <c r="B423" s="77" t="s">
        <v>118</v>
      </c>
      <c r="C423" s="42" t="s">
        <v>49</v>
      </c>
      <c r="D423" s="44">
        <v>46081</v>
      </c>
      <c r="E423" s="44">
        <v>46106</v>
      </c>
      <c r="F423" s="81"/>
      <c r="G423" s="68">
        <v>2600</v>
      </c>
      <c r="H423" s="4">
        <f t="shared" si="19"/>
        <v>26</v>
      </c>
      <c r="I423" s="3"/>
    </row>
    <row r="424" spans="1:13" ht="42.75" customHeight="1" x14ac:dyDescent="0.25">
      <c r="A424" s="230"/>
      <c r="B424" s="77" t="s">
        <v>118</v>
      </c>
      <c r="C424" s="42" t="s">
        <v>49</v>
      </c>
      <c r="D424" s="44">
        <v>46081</v>
      </c>
      <c r="E424" s="44">
        <v>46106</v>
      </c>
      <c r="F424" s="81"/>
      <c r="G424" s="68">
        <v>2600</v>
      </c>
      <c r="H424" s="4">
        <f t="shared" si="19"/>
        <v>26</v>
      </c>
      <c r="I424" s="3"/>
      <c r="M424" s="1" t="s">
        <v>262</v>
      </c>
    </row>
    <row r="425" spans="1:13" ht="42.75" customHeight="1" x14ac:dyDescent="0.25">
      <c r="A425" s="230"/>
      <c r="B425" s="77" t="s">
        <v>118</v>
      </c>
      <c r="C425" s="42" t="s">
        <v>49</v>
      </c>
      <c r="D425" s="44">
        <v>46082</v>
      </c>
      <c r="E425" s="44">
        <v>46106</v>
      </c>
      <c r="F425" s="81"/>
      <c r="G425" s="68">
        <v>1400</v>
      </c>
      <c r="H425" s="4">
        <f t="shared" si="19"/>
        <v>25</v>
      </c>
      <c r="I425" s="3"/>
    </row>
    <row r="426" spans="1:13" ht="42.75" customHeight="1" x14ac:dyDescent="0.25">
      <c r="A426" s="225"/>
      <c r="B426" s="226" t="s">
        <v>20</v>
      </c>
      <c r="C426" s="227"/>
      <c r="D426" s="227"/>
      <c r="E426" s="227"/>
      <c r="F426" s="228"/>
      <c r="G426" s="69">
        <f>SUM(G421:G425)</f>
        <v>14800</v>
      </c>
      <c r="H426" s="4"/>
      <c r="I426" s="3"/>
    </row>
    <row r="427" spans="1:13" ht="42.75" customHeight="1" x14ac:dyDescent="0.25">
      <c r="A427" s="224">
        <v>4</v>
      </c>
      <c r="B427" s="77" t="s">
        <v>50</v>
      </c>
      <c r="C427" s="42" t="s">
        <v>49</v>
      </c>
      <c r="D427" s="44">
        <v>46079</v>
      </c>
      <c r="E427" s="44">
        <v>46106</v>
      </c>
      <c r="F427" s="78">
        <v>52747</v>
      </c>
      <c r="G427" s="68">
        <f>+F427</f>
        <v>52747</v>
      </c>
      <c r="H427" s="4">
        <f t="shared" si="19"/>
        <v>28</v>
      </c>
      <c r="I427" s="3"/>
    </row>
    <row r="428" spans="1:13" ht="42.75" customHeight="1" x14ac:dyDescent="0.25">
      <c r="A428" s="225"/>
      <c r="B428" s="211" t="s">
        <v>20</v>
      </c>
      <c r="C428" s="211"/>
      <c r="D428" s="211"/>
      <c r="E428" s="211"/>
      <c r="F428" s="211"/>
      <c r="G428" s="69">
        <f>SUM(G427:G427)</f>
        <v>52747</v>
      </c>
      <c r="H428" s="4"/>
      <c r="I428" s="3"/>
    </row>
    <row r="429" spans="1:13" ht="42.75" customHeight="1" x14ac:dyDescent="0.25">
      <c r="A429" s="224">
        <v>5</v>
      </c>
      <c r="B429" s="77" t="s">
        <v>126</v>
      </c>
      <c r="C429" s="42" t="s">
        <v>24</v>
      </c>
      <c r="D429" s="44">
        <v>46079</v>
      </c>
      <c r="E429" s="44">
        <v>46106</v>
      </c>
      <c r="F429" s="78">
        <v>35500</v>
      </c>
      <c r="G429" s="68">
        <f>+F429</f>
        <v>35500</v>
      </c>
      <c r="H429" s="4">
        <f t="shared" si="19"/>
        <v>28</v>
      </c>
      <c r="I429" s="3"/>
    </row>
    <row r="430" spans="1:13" ht="42.75" customHeight="1" x14ac:dyDescent="0.25">
      <c r="A430" s="225"/>
      <c r="B430" s="226" t="s">
        <v>20</v>
      </c>
      <c r="C430" s="227"/>
      <c r="D430" s="227"/>
      <c r="E430" s="227"/>
      <c r="F430" s="228"/>
      <c r="G430" s="69">
        <f>SUM(G429:G429)</f>
        <v>35500</v>
      </c>
      <c r="H430" s="4"/>
      <c r="I430" s="3"/>
    </row>
    <row r="431" spans="1:13" ht="42.75" customHeight="1" x14ac:dyDescent="0.25">
      <c r="A431" s="224">
        <v>6</v>
      </c>
      <c r="B431" s="77" t="s">
        <v>149</v>
      </c>
      <c r="C431" s="42" t="s">
        <v>24</v>
      </c>
      <c r="D431" s="44">
        <v>46079</v>
      </c>
      <c r="E431" s="44">
        <v>46106</v>
      </c>
      <c r="F431" s="78">
        <v>23840</v>
      </c>
      <c r="G431" s="68">
        <f>+F431</f>
        <v>23840</v>
      </c>
      <c r="H431" s="4">
        <f t="shared" si="19"/>
        <v>28</v>
      </c>
      <c r="I431" s="3"/>
    </row>
    <row r="432" spans="1:13" ht="42.75" customHeight="1" x14ac:dyDescent="0.25">
      <c r="A432" s="225"/>
      <c r="B432" s="226" t="s">
        <v>20</v>
      </c>
      <c r="C432" s="227"/>
      <c r="D432" s="227"/>
      <c r="E432" s="227"/>
      <c r="F432" s="228"/>
      <c r="G432" s="69">
        <f>SUM(G431:G431)</f>
        <v>23840</v>
      </c>
      <c r="H432" s="4"/>
      <c r="I432" s="3"/>
    </row>
    <row r="433" spans="1:13" ht="42.75" customHeight="1" x14ac:dyDescent="0.25">
      <c r="A433" s="224">
        <v>7</v>
      </c>
      <c r="B433" s="77" t="s">
        <v>0</v>
      </c>
      <c r="C433" s="42" t="s">
        <v>24</v>
      </c>
      <c r="D433" s="44">
        <v>46079</v>
      </c>
      <c r="E433" s="44">
        <v>46106</v>
      </c>
      <c r="F433" s="78">
        <v>235733</v>
      </c>
      <c r="G433" s="68">
        <v>235733</v>
      </c>
      <c r="H433" s="4">
        <f t="shared" si="19"/>
        <v>28</v>
      </c>
      <c r="I433" s="3"/>
    </row>
    <row r="434" spans="1:13" ht="42.75" customHeight="1" x14ac:dyDescent="0.25">
      <c r="A434" s="230"/>
      <c r="B434" s="77" t="s">
        <v>0</v>
      </c>
      <c r="C434" s="42" t="s">
        <v>24</v>
      </c>
      <c r="D434" s="44">
        <v>46081</v>
      </c>
      <c r="E434" s="44">
        <v>46106</v>
      </c>
      <c r="F434" s="78"/>
      <c r="G434" s="68">
        <v>2772</v>
      </c>
      <c r="H434" s="4">
        <f t="shared" si="19"/>
        <v>26</v>
      </c>
      <c r="I434" s="3"/>
      <c r="M434" s="1" t="s">
        <v>262</v>
      </c>
    </row>
    <row r="435" spans="1:13" ht="42.75" customHeight="1" x14ac:dyDescent="0.25">
      <c r="A435" s="225"/>
      <c r="B435" s="226" t="s">
        <v>20</v>
      </c>
      <c r="C435" s="227"/>
      <c r="D435" s="227"/>
      <c r="E435" s="227"/>
      <c r="F435" s="228"/>
      <c r="G435" s="69">
        <f>SUM(G433:G434)</f>
        <v>238505</v>
      </c>
      <c r="H435" s="4"/>
      <c r="I435" s="3"/>
    </row>
    <row r="436" spans="1:13" ht="42.75" customHeight="1" x14ac:dyDescent="0.25">
      <c r="A436" s="224">
        <v>8</v>
      </c>
      <c r="B436" s="77" t="s">
        <v>150</v>
      </c>
      <c r="C436" s="42" t="s">
        <v>24</v>
      </c>
      <c r="D436" s="44">
        <v>46079</v>
      </c>
      <c r="E436" s="44">
        <v>46106</v>
      </c>
      <c r="F436" s="69">
        <v>33150</v>
      </c>
      <c r="G436" s="70">
        <f>+F436</f>
        <v>33150</v>
      </c>
      <c r="H436" s="4">
        <f t="shared" si="19"/>
        <v>28</v>
      </c>
      <c r="I436" s="3"/>
    </row>
    <row r="437" spans="1:13" ht="42.75" customHeight="1" x14ac:dyDescent="0.25">
      <c r="A437" s="225"/>
      <c r="B437" s="226" t="s">
        <v>20</v>
      </c>
      <c r="C437" s="227"/>
      <c r="D437" s="227"/>
      <c r="E437" s="227"/>
      <c r="F437" s="228"/>
      <c r="G437" s="69">
        <f>SUM(G436:G436)</f>
        <v>33150</v>
      </c>
      <c r="H437" s="4"/>
      <c r="I437" s="3"/>
    </row>
    <row r="438" spans="1:13" ht="42.75" customHeight="1" x14ac:dyDescent="0.25">
      <c r="A438" s="224">
        <v>9</v>
      </c>
      <c r="B438" s="77" t="s">
        <v>151</v>
      </c>
      <c r="C438" s="42" t="s">
        <v>24</v>
      </c>
      <c r="D438" s="44">
        <v>46079</v>
      </c>
      <c r="E438" s="44">
        <v>46106</v>
      </c>
      <c r="F438" s="78">
        <v>31850</v>
      </c>
      <c r="G438" s="68">
        <f>+F438</f>
        <v>31850</v>
      </c>
      <c r="H438" s="4">
        <f t="shared" si="19"/>
        <v>28</v>
      </c>
      <c r="I438" s="3"/>
    </row>
    <row r="439" spans="1:13" ht="42.75" customHeight="1" x14ac:dyDescent="0.25">
      <c r="A439" s="225"/>
      <c r="B439" s="226" t="s">
        <v>20</v>
      </c>
      <c r="C439" s="227"/>
      <c r="D439" s="227"/>
      <c r="E439" s="227"/>
      <c r="F439" s="228"/>
      <c r="G439" s="69">
        <f>SUM(G438:G438)</f>
        <v>31850</v>
      </c>
      <c r="H439" s="4"/>
      <c r="I439" s="3"/>
    </row>
    <row r="440" spans="1:13" ht="42.75" customHeight="1" x14ac:dyDescent="0.25">
      <c r="A440" s="224">
        <v>10</v>
      </c>
      <c r="B440" s="77" t="s">
        <v>171</v>
      </c>
      <c r="C440" s="42" t="s">
        <v>24</v>
      </c>
      <c r="D440" s="44">
        <v>46079</v>
      </c>
      <c r="E440" s="44">
        <v>46106</v>
      </c>
      <c r="F440" s="78">
        <v>1000</v>
      </c>
      <c r="G440" s="68">
        <f>+F440</f>
        <v>1000</v>
      </c>
      <c r="H440" s="4">
        <f t="shared" si="19"/>
        <v>28</v>
      </c>
      <c r="I440" s="3"/>
    </row>
    <row r="441" spans="1:13" ht="42.75" customHeight="1" x14ac:dyDescent="0.25">
      <c r="A441" s="225"/>
      <c r="B441" s="226" t="s">
        <v>20</v>
      </c>
      <c r="C441" s="227"/>
      <c r="D441" s="227"/>
      <c r="E441" s="227"/>
      <c r="F441" s="228"/>
      <c r="G441" s="69">
        <f>SUM(G440:G440)</f>
        <v>1000</v>
      </c>
      <c r="H441" s="8"/>
      <c r="I441" s="3"/>
    </row>
    <row r="442" spans="1:13" ht="42.75" customHeight="1" x14ac:dyDescent="0.25">
      <c r="A442" s="59" t="str">
        <f>ROMAN(2,0)</f>
        <v>II</v>
      </c>
      <c r="B442" s="22" t="s">
        <v>56</v>
      </c>
      <c r="C442" s="59"/>
      <c r="D442" s="59"/>
      <c r="E442" s="59"/>
      <c r="F442" s="59"/>
      <c r="G442" s="69"/>
      <c r="H442" s="8"/>
      <c r="I442" s="8"/>
    </row>
    <row r="443" spans="1:13" ht="42.75" customHeight="1" x14ac:dyDescent="0.25">
      <c r="A443" s="42">
        <v>1</v>
      </c>
      <c r="B443" s="80" t="s">
        <v>58</v>
      </c>
      <c r="C443" s="42" t="s">
        <v>57</v>
      </c>
      <c r="D443" s="42"/>
      <c r="E443" s="59"/>
      <c r="F443" s="79">
        <v>61</v>
      </c>
      <c r="G443" s="79">
        <v>4</v>
      </c>
      <c r="H443" s="4"/>
      <c r="I443" s="23"/>
    </row>
    <row r="444" spans="1:13" ht="42.75" customHeight="1" x14ac:dyDescent="0.25">
      <c r="A444" s="42">
        <v>2</v>
      </c>
      <c r="B444" s="80" t="s">
        <v>73</v>
      </c>
      <c r="C444" s="42" t="s">
        <v>57</v>
      </c>
      <c r="D444" s="42"/>
      <c r="E444" s="59"/>
      <c r="F444" s="79">
        <v>1</v>
      </c>
      <c r="G444" s="79"/>
      <c r="H444" s="8"/>
      <c r="I444" s="23"/>
    </row>
    <row r="445" spans="1:13" x14ac:dyDescent="0.25">
      <c r="F445" s="84"/>
    </row>
    <row r="446" spans="1:13" x14ac:dyDescent="0.25">
      <c r="A446" s="5" t="s">
        <v>60</v>
      </c>
    </row>
    <row r="447" spans="1:13" x14ac:dyDescent="0.25">
      <c r="A447" s="236" t="s">
        <v>21</v>
      </c>
      <c r="B447" s="236"/>
      <c r="C447" s="236"/>
      <c r="D447" s="236"/>
      <c r="E447" s="236" t="s">
        <v>22</v>
      </c>
      <c r="F447" s="236"/>
      <c r="G447" s="236"/>
      <c r="H447" s="236"/>
      <c r="I447" s="236"/>
    </row>
    <row r="452" spans="1:9" ht="15.75" x14ac:dyDescent="0.25">
      <c r="A452" s="197" t="s">
        <v>1</v>
      </c>
      <c r="B452" s="197"/>
      <c r="C452" s="197"/>
      <c r="D452" s="197"/>
      <c r="E452" s="197"/>
      <c r="F452" s="197"/>
      <c r="G452" s="197"/>
      <c r="H452" s="197"/>
      <c r="I452" s="197"/>
    </row>
    <row r="453" spans="1:9" ht="15.75" x14ac:dyDescent="0.25">
      <c r="A453" s="197" t="s">
        <v>2</v>
      </c>
      <c r="B453" s="197"/>
      <c r="C453" s="197"/>
      <c r="D453" s="197"/>
      <c r="E453" s="197"/>
      <c r="F453" s="197"/>
      <c r="G453" s="197"/>
      <c r="H453" s="197"/>
      <c r="I453" s="197"/>
    </row>
    <row r="454" spans="1:9" ht="15" x14ac:dyDescent="0.25">
      <c r="A454" s="18"/>
      <c r="B454" s="18"/>
      <c r="C454" s="18"/>
      <c r="D454" s="18"/>
      <c r="E454" s="18"/>
      <c r="F454" s="18"/>
      <c r="G454" s="18"/>
      <c r="H454" s="18"/>
      <c r="I454" s="18"/>
    </row>
    <row r="455" spans="1:9" ht="20.25" x14ac:dyDescent="0.25">
      <c r="A455" s="204" t="s">
        <v>132</v>
      </c>
      <c r="B455" s="204"/>
      <c r="C455" s="204"/>
      <c r="D455" s="204"/>
      <c r="E455" s="204"/>
      <c r="F455" s="204"/>
      <c r="G455" s="204"/>
      <c r="H455" s="204"/>
      <c r="I455" s="204"/>
    </row>
    <row r="456" spans="1:9" ht="15.75" x14ac:dyDescent="0.25">
      <c r="A456" s="197" t="s">
        <v>272</v>
      </c>
      <c r="B456" s="197"/>
      <c r="C456" s="197"/>
      <c r="D456" s="197"/>
      <c r="E456" s="197"/>
      <c r="F456" s="197"/>
      <c r="G456" s="197"/>
      <c r="H456" s="197"/>
      <c r="I456" s="197"/>
    </row>
    <row r="457" spans="1:9" ht="15.75" x14ac:dyDescent="0.25">
      <c r="A457" s="60"/>
      <c r="B457" s="60"/>
      <c r="C457" s="60"/>
      <c r="D457" s="60"/>
      <c r="E457" s="60"/>
      <c r="F457" s="60"/>
      <c r="G457" s="60"/>
      <c r="H457" s="60"/>
      <c r="I457" s="60"/>
    </row>
    <row r="458" spans="1:9" ht="33.75" customHeight="1" x14ac:dyDescent="0.25">
      <c r="A458" s="219" t="str">
        <f>'Giá trị'!$A$7:$K$7</f>
        <v>- Căn cứ Hợp đồng kinh tế số 0412/HĐKT2025/TP-VIETPANEL ký ngày 04/12/2025 giữa Công ty TNHH xây dựng Việt Panel và Công ty Cổ phần Tập đoàn Thiết bị xây dựng TP về việc cho thuê thiết bị xây dựng.</v>
      </c>
      <c r="B458" s="219"/>
      <c r="C458" s="219"/>
      <c r="D458" s="219"/>
      <c r="E458" s="219"/>
      <c r="F458" s="219"/>
      <c r="G458" s="219"/>
      <c r="H458" s="219"/>
      <c r="I458" s="219"/>
    </row>
    <row r="459" spans="1:9" x14ac:dyDescent="0.25">
      <c r="A459" s="6" t="s">
        <v>51</v>
      </c>
      <c r="B459" s="5" t="str">
        <f>'Giá trị'!$B$8</f>
        <v>Senci</v>
      </c>
      <c r="C459" s="30"/>
      <c r="D459" s="30"/>
      <c r="E459" s="30"/>
    </row>
    <row r="460" spans="1:9" x14ac:dyDescent="0.25">
      <c r="A460" s="6" t="s">
        <v>59</v>
      </c>
      <c r="B460" s="6" t="str">
        <f>'Giá trị'!$B$9</f>
        <v>KCN Phúc Điền, Hải Dương</v>
      </c>
      <c r="C460" s="30"/>
      <c r="D460" s="30"/>
      <c r="E460" s="30"/>
    </row>
    <row r="461" spans="1:9" x14ac:dyDescent="0.25">
      <c r="A461" s="6" t="s">
        <v>3</v>
      </c>
      <c r="C461" s="30"/>
      <c r="D461" s="30"/>
      <c r="E461" s="30"/>
    </row>
    <row r="462" spans="1:9" x14ac:dyDescent="0.25">
      <c r="A462" s="5" t="s">
        <v>172</v>
      </c>
      <c r="C462" s="30"/>
      <c r="D462" s="30"/>
      <c r="E462" s="30"/>
    </row>
    <row r="463" spans="1:9" x14ac:dyDescent="0.25">
      <c r="A463" s="7" t="str">
        <f>'Giá trị'!$A$12</f>
        <v>BÊN THUÊ (BÊN A): CÔNG TY TNHH XÂY DỰNG VIỆT PANEL</v>
      </c>
      <c r="B463" s="7"/>
      <c r="C463" s="40"/>
      <c r="D463" s="40"/>
      <c r="E463" s="40"/>
      <c r="F463" s="7"/>
      <c r="G463" s="7"/>
      <c r="H463" s="7"/>
      <c r="I463" s="7"/>
    </row>
    <row r="464" spans="1:9" x14ac:dyDescent="0.25">
      <c r="A464" s="5" t="s">
        <v>125</v>
      </c>
      <c r="B464" s="5" t="str">
        <f>'Giá trị'!$B$13</f>
        <v>Thôn Đông Phù, Xã Tiên Du, Tỉnh Bắc Ninh, Việt Nam</v>
      </c>
      <c r="C464" s="30"/>
      <c r="D464" s="30"/>
      <c r="E464" s="30"/>
    </row>
    <row r="465" spans="1:12" x14ac:dyDescent="0.25">
      <c r="A465" s="5" t="s">
        <v>5</v>
      </c>
      <c r="C465" s="198" t="str">
        <f>'Giá trị'!$C$14:$D$14</f>
        <v>0222 6535 699</v>
      </c>
      <c r="D465" s="208"/>
    </row>
    <row r="466" spans="1:12" x14ac:dyDescent="0.25">
      <c r="A466" s="5" t="s">
        <v>4</v>
      </c>
      <c r="C466" s="209">
        <f>'Giá trị'!$C$15:$D$15</f>
        <v>616139999</v>
      </c>
      <c r="D466" s="209"/>
      <c r="E466" s="41" t="str">
        <f>'Giá trị'!$E$15</f>
        <v>Tại MB Ngân hàng quân đội</v>
      </c>
    </row>
    <row r="467" spans="1:12" x14ac:dyDescent="0.25">
      <c r="A467" s="5" t="s">
        <v>6</v>
      </c>
      <c r="B467" s="6"/>
      <c r="C467" s="198" t="str">
        <f>'Giá trị'!$C$16:$D$16</f>
        <v>2300856941</v>
      </c>
      <c r="D467" s="198"/>
      <c r="E467" s="6"/>
      <c r="F467" s="6"/>
    </row>
    <row r="468" spans="1:12" x14ac:dyDescent="0.25">
      <c r="A468" s="5" t="s">
        <v>7</v>
      </c>
      <c r="C468" s="7" t="str">
        <f>'Giá trị'!$C$17</f>
        <v>Ông Lưu Đình Cải</v>
      </c>
      <c r="D468" s="40"/>
      <c r="E468" s="5" t="str">
        <f>'Giá trị'!$E$17</f>
        <v>Chức vụ: Giám đốc</v>
      </c>
    </row>
    <row r="469" spans="1:12" x14ac:dyDescent="0.25">
      <c r="C469" s="30"/>
      <c r="D469" s="30"/>
      <c r="E469" s="30"/>
    </row>
    <row r="470" spans="1:12" x14ac:dyDescent="0.25">
      <c r="A470" s="7" t="s">
        <v>8</v>
      </c>
      <c r="B470" s="7"/>
      <c r="C470" s="40"/>
      <c r="D470" s="40"/>
      <c r="E470" s="40"/>
      <c r="F470" s="7"/>
      <c r="G470" s="7"/>
      <c r="H470" s="7"/>
      <c r="I470" s="7"/>
    </row>
    <row r="471" spans="1:12" x14ac:dyDescent="0.25">
      <c r="A471" s="5" t="s">
        <v>115</v>
      </c>
      <c r="C471" s="30"/>
      <c r="D471" s="30"/>
      <c r="E471" s="30"/>
    </row>
    <row r="472" spans="1:12" x14ac:dyDescent="0.25">
      <c r="A472" s="5" t="s">
        <v>5</v>
      </c>
      <c r="C472" s="6" t="s">
        <v>9</v>
      </c>
      <c r="D472" s="24"/>
      <c r="E472" s="30"/>
    </row>
    <row r="473" spans="1:12" x14ac:dyDescent="0.25">
      <c r="A473" s="5" t="s">
        <v>10</v>
      </c>
      <c r="C473" s="32" t="str">
        <f>'Giá trị'!$C$22</f>
        <v>8331100096008</v>
      </c>
      <c r="D473" s="17"/>
      <c r="E473" s="201" t="str">
        <f>$E$22</f>
        <v>Tại Ngân hàng Thương mại cổ phần Quân đội - Chi nhánh Hoàng Quốc Việt</v>
      </c>
      <c r="F473" s="201"/>
      <c r="G473" s="201"/>
      <c r="H473" s="201"/>
      <c r="I473" s="201"/>
    </row>
    <row r="474" spans="1:12" x14ac:dyDescent="0.25">
      <c r="A474" s="5" t="s">
        <v>6</v>
      </c>
      <c r="C474" s="6" t="s">
        <v>19</v>
      </c>
      <c r="D474" s="24"/>
      <c r="E474" s="41"/>
    </row>
    <row r="475" spans="1:12" x14ac:dyDescent="0.25">
      <c r="A475" s="5" t="s">
        <v>7</v>
      </c>
      <c r="C475" s="7" t="s">
        <v>116</v>
      </c>
      <c r="D475" s="40"/>
      <c r="E475" s="41" t="s">
        <v>117</v>
      </c>
    </row>
    <row r="476" spans="1:12" x14ac:dyDescent="0.25">
      <c r="C476" s="30"/>
      <c r="D476" s="30"/>
      <c r="E476" s="30"/>
    </row>
    <row r="477" spans="1:12" x14ac:dyDescent="0.25">
      <c r="A477" s="5" t="s">
        <v>277</v>
      </c>
      <c r="C477" s="30"/>
      <c r="D477" s="30"/>
      <c r="E477" s="30"/>
    </row>
    <row r="478" spans="1:12" ht="49.5" x14ac:dyDescent="0.25">
      <c r="A478" s="3" t="s">
        <v>12</v>
      </c>
      <c r="B478" s="3" t="s">
        <v>13</v>
      </c>
      <c r="C478" s="3" t="s">
        <v>23</v>
      </c>
      <c r="D478" s="3" t="s">
        <v>61</v>
      </c>
      <c r="E478" s="3" t="s">
        <v>14</v>
      </c>
      <c r="F478" s="3" t="s">
        <v>15</v>
      </c>
      <c r="G478" s="3" t="s">
        <v>16</v>
      </c>
      <c r="H478" s="3" t="s">
        <v>62</v>
      </c>
      <c r="I478" s="3" t="s">
        <v>18</v>
      </c>
      <c r="J478" s="72">
        <f>+G481+G483+G485+G487+G489+G491+G493+G495+G497+G499</f>
        <v>487292</v>
      </c>
      <c r="L478" s="72"/>
    </row>
    <row r="479" spans="1:12" x14ac:dyDescent="0.25">
      <c r="A479" s="3" t="str">
        <f>ROMAN(1,0)</f>
        <v>I</v>
      </c>
      <c r="B479" s="21" t="s">
        <v>55</v>
      </c>
      <c r="C479" s="3"/>
      <c r="D479" s="3"/>
      <c r="E479" s="3"/>
      <c r="F479" s="3"/>
      <c r="G479" s="3"/>
      <c r="H479" s="3"/>
      <c r="I479" s="3"/>
    </row>
    <row r="480" spans="1:12" ht="17.25" x14ac:dyDescent="0.25">
      <c r="A480" s="229">
        <v>1</v>
      </c>
      <c r="B480" s="77" t="s">
        <v>148</v>
      </c>
      <c r="C480" s="42" t="s">
        <v>49</v>
      </c>
      <c r="D480" s="44">
        <v>46107</v>
      </c>
      <c r="E480" s="44">
        <v>46137</v>
      </c>
      <c r="F480" s="78">
        <v>21400</v>
      </c>
      <c r="G480" s="68">
        <f>+F480</f>
        <v>21400</v>
      </c>
      <c r="H480" s="4">
        <f>E480-D480+1</f>
        <v>31</v>
      </c>
      <c r="I480" s="3"/>
    </row>
    <row r="481" spans="1:9" x14ac:dyDescent="0.25">
      <c r="A481" s="229"/>
      <c r="B481" s="226" t="s">
        <v>20</v>
      </c>
      <c r="C481" s="227"/>
      <c r="D481" s="227"/>
      <c r="E481" s="227"/>
      <c r="F481" s="228"/>
      <c r="G481" s="69">
        <f>SUM(G480:G480)</f>
        <v>21400</v>
      </c>
      <c r="H481" s="4"/>
      <c r="I481" s="3"/>
    </row>
    <row r="482" spans="1:9" ht="17.25" x14ac:dyDescent="0.25">
      <c r="A482" s="224">
        <v>2</v>
      </c>
      <c r="B482" s="77" t="s">
        <v>122</v>
      </c>
      <c r="C482" s="42" t="s">
        <v>49</v>
      </c>
      <c r="D482" s="44">
        <v>46107</v>
      </c>
      <c r="E482" s="44">
        <v>46137</v>
      </c>
      <c r="F482" s="78">
        <v>34500</v>
      </c>
      <c r="G482" s="68">
        <f>+F482</f>
        <v>34500</v>
      </c>
      <c r="H482" s="4">
        <f t="shared" ref="H482" si="20">E482-D482+1</f>
        <v>31</v>
      </c>
      <c r="I482" s="3"/>
    </row>
    <row r="483" spans="1:9" x14ac:dyDescent="0.25">
      <c r="A483" s="225"/>
      <c r="B483" s="226" t="s">
        <v>20</v>
      </c>
      <c r="C483" s="227"/>
      <c r="D483" s="227"/>
      <c r="E483" s="227"/>
      <c r="F483" s="228"/>
      <c r="G483" s="69">
        <f>SUM(G482:G482)</f>
        <v>34500</v>
      </c>
      <c r="H483" s="4"/>
      <c r="I483" s="3"/>
    </row>
    <row r="484" spans="1:9" ht="17.25" x14ac:dyDescent="0.25">
      <c r="A484" s="224">
        <v>3</v>
      </c>
      <c r="B484" s="77" t="s">
        <v>118</v>
      </c>
      <c r="C484" s="42" t="s">
        <v>49</v>
      </c>
      <c r="D484" s="44">
        <v>46107</v>
      </c>
      <c r="E484" s="44">
        <v>46137</v>
      </c>
      <c r="F484" s="78">
        <v>14800</v>
      </c>
      <c r="G484" s="68">
        <f>+F484</f>
        <v>14800</v>
      </c>
      <c r="H484" s="4">
        <f t="shared" ref="H484" si="21">E484-D484+1</f>
        <v>31</v>
      </c>
      <c r="I484" s="3"/>
    </row>
    <row r="485" spans="1:9" x14ac:dyDescent="0.25">
      <c r="A485" s="225"/>
      <c r="B485" s="226" t="s">
        <v>20</v>
      </c>
      <c r="C485" s="227"/>
      <c r="D485" s="227"/>
      <c r="E485" s="227"/>
      <c r="F485" s="228"/>
      <c r="G485" s="69">
        <f>SUM(G484:G484)</f>
        <v>14800</v>
      </c>
      <c r="H485" s="4"/>
      <c r="I485" s="3"/>
    </row>
    <row r="486" spans="1:9" ht="17.25" x14ac:dyDescent="0.25">
      <c r="A486" s="224">
        <v>4</v>
      </c>
      <c r="B486" s="77" t="s">
        <v>50</v>
      </c>
      <c r="C486" s="42" t="s">
        <v>49</v>
      </c>
      <c r="D486" s="44">
        <v>46107</v>
      </c>
      <c r="E486" s="44">
        <v>46137</v>
      </c>
      <c r="F486" s="78">
        <v>52747</v>
      </c>
      <c r="G486" s="68">
        <f>+F486</f>
        <v>52747</v>
      </c>
      <c r="H486" s="4">
        <f t="shared" ref="H486" si="22">E486-D486+1</f>
        <v>31</v>
      </c>
      <c r="I486" s="3"/>
    </row>
    <row r="487" spans="1:9" x14ac:dyDescent="0.25">
      <c r="A487" s="225"/>
      <c r="B487" s="211" t="s">
        <v>20</v>
      </c>
      <c r="C487" s="211"/>
      <c r="D487" s="211"/>
      <c r="E487" s="211"/>
      <c r="F487" s="211"/>
      <c r="G487" s="69">
        <f>SUM(G486:G486)</f>
        <v>52747</v>
      </c>
      <c r="H487" s="4"/>
      <c r="I487" s="3"/>
    </row>
    <row r="488" spans="1:9" ht="17.25" x14ac:dyDescent="0.25">
      <c r="A488" s="224">
        <v>5</v>
      </c>
      <c r="B488" s="77" t="s">
        <v>126</v>
      </c>
      <c r="C488" s="42" t="s">
        <v>24</v>
      </c>
      <c r="D488" s="44">
        <v>46107</v>
      </c>
      <c r="E488" s="44">
        <v>46137</v>
      </c>
      <c r="F488" s="78">
        <v>35500</v>
      </c>
      <c r="G488" s="68">
        <f>+F488</f>
        <v>35500</v>
      </c>
      <c r="H488" s="4">
        <f t="shared" ref="H488" si="23">E488-D488+1</f>
        <v>31</v>
      </c>
      <c r="I488" s="3"/>
    </row>
    <row r="489" spans="1:9" x14ac:dyDescent="0.25">
      <c r="A489" s="225"/>
      <c r="B489" s="226" t="s">
        <v>20</v>
      </c>
      <c r="C489" s="227"/>
      <c r="D489" s="227"/>
      <c r="E489" s="227"/>
      <c r="F489" s="228"/>
      <c r="G489" s="69">
        <f>SUM(G488:G488)</f>
        <v>35500</v>
      </c>
      <c r="H489" s="4"/>
      <c r="I489" s="3"/>
    </row>
    <row r="490" spans="1:9" ht="17.25" x14ac:dyDescent="0.25">
      <c r="A490" s="224">
        <v>6</v>
      </c>
      <c r="B490" s="77" t="s">
        <v>149</v>
      </c>
      <c r="C490" s="42" t="s">
        <v>24</v>
      </c>
      <c r="D490" s="44">
        <v>46107</v>
      </c>
      <c r="E490" s="44">
        <v>46137</v>
      </c>
      <c r="F490" s="78">
        <v>23840</v>
      </c>
      <c r="G490" s="68">
        <f>+F490</f>
        <v>23840</v>
      </c>
      <c r="H490" s="4">
        <f t="shared" ref="H490" si="24">E490-D490+1</f>
        <v>31</v>
      </c>
      <c r="I490" s="3"/>
    </row>
    <row r="491" spans="1:9" x14ac:dyDescent="0.25">
      <c r="A491" s="225"/>
      <c r="B491" s="226" t="s">
        <v>20</v>
      </c>
      <c r="C491" s="227"/>
      <c r="D491" s="227"/>
      <c r="E491" s="227"/>
      <c r="F491" s="228"/>
      <c r="G491" s="69">
        <f>SUM(G490:G490)</f>
        <v>23840</v>
      </c>
      <c r="H491" s="4"/>
      <c r="I491" s="3"/>
    </row>
    <row r="492" spans="1:9" ht="17.25" x14ac:dyDescent="0.25">
      <c r="A492" s="224">
        <v>7</v>
      </c>
      <c r="B492" s="77" t="s">
        <v>0</v>
      </c>
      <c r="C492" s="42" t="s">
        <v>24</v>
      </c>
      <c r="D492" s="44">
        <v>46107</v>
      </c>
      <c r="E492" s="44">
        <v>46137</v>
      </c>
      <c r="F492" s="78">
        <v>238505</v>
      </c>
      <c r="G492" s="68">
        <f>+F492</f>
        <v>238505</v>
      </c>
      <c r="H492" s="4">
        <f t="shared" ref="H492" si="25">E492-D492+1</f>
        <v>31</v>
      </c>
      <c r="I492" s="3"/>
    </row>
    <row r="493" spans="1:9" x14ac:dyDescent="0.25">
      <c r="A493" s="225"/>
      <c r="B493" s="226" t="s">
        <v>20</v>
      </c>
      <c r="C493" s="227"/>
      <c r="D493" s="227"/>
      <c r="E493" s="227"/>
      <c r="F493" s="228"/>
      <c r="G493" s="69">
        <f>SUM(G492:G492)</f>
        <v>238505</v>
      </c>
      <c r="H493" s="4"/>
      <c r="I493" s="3"/>
    </row>
    <row r="494" spans="1:9" x14ac:dyDescent="0.25">
      <c r="A494" s="224">
        <v>8</v>
      </c>
      <c r="B494" s="77" t="s">
        <v>150</v>
      </c>
      <c r="C494" s="42" t="s">
        <v>24</v>
      </c>
      <c r="D494" s="44">
        <v>46107</v>
      </c>
      <c r="E494" s="44">
        <v>46137</v>
      </c>
      <c r="F494" s="69">
        <v>33150</v>
      </c>
      <c r="G494" s="70">
        <f>+F494</f>
        <v>33150</v>
      </c>
      <c r="H494" s="4">
        <f t="shared" ref="H494" si="26">E494-D494+1</f>
        <v>31</v>
      </c>
      <c r="I494" s="3"/>
    </row>
    <row r="495" spans="1:9" x14ac:dyDescent="0.25">
      <c r="A495" s="225"/>
      <c r="B495" s="226" t="s">
        <v>20</v>
      </c>
      <c r="C495" s="227"/>
      <c r="D495" s="227"/>
      <c r="E495" s="227"/>
      <c r="F495" s="228"/>
      <c r="G495" s="69">
        <f>SUM(G494:G494)</f>
        <v>33150</v>
      </c>
      <c r="H495" s="4"/>
      <c r="I495" s="3"/>
    </row>
    <row r="496" spans="1:9" ht="17.25" x14ac:dyDescent="0.25">
      <c r="A496" s="224">
        <v>9</v>
      </c>
      <c r="B496" s="77" t="s">
        <v>151</v>
      </c>
      <c r="C496" s="42" t="s">
        <v>24</v>
      </c>
      <c r="D496" s="44">
        <v>46107</v>
      </c>
      <c r="E496" s="44">
        <v>46137</v>
      </c>
      <c r="F496" s="78">
        <v>31850</v>
      </c>
      <c r="G496" s="68">
        <f>+F496</f>
        <v>31850</v>
      </c>
      <c r="H496" s="4">
        <f t="shared" ref="H496" si="27">E496-D496+1</f>
        <v>31</v>
      </c>
      <c r="I496" s="3"/>
    </row>
    <row r="497" spans="1:9" x14ac:dyDescent="0.25">
      <c r="A497" s="225"/>
      <c r="B497" s="226" t="s">
        <v>20</v>
      </c>
      <c r="C497" s="227"/>
      <c r="D497" s="227"/>
      <c r="E497" s="227"/>
      <c r="F497" s="228"/>
      <c r="G497" s="69">
        <f>SUM(G496:G496)</f>
        <v>31850</v>
      </c>
      <c r="H497" s="4"/>
      <c r="I497" s="3"/>
    </row>
    <row r="498" spans="1:9" ht="17.25" x14ac:dyDescent="0.25">
      <c r="A498" s="224">
        <v>10</v>
      </c>
      <c r="B498" s="77" t="s">
        <v>171</v>
      </c>
      <c r="C498" s="42" t="s">
        <v>24</v>
      </c>
      <c r="D498" s="44">
        <v>46107</v>
      </c>
      <c r="E498" s="44">
        <v>46137</v>
      </c>
      <c r="F498" s="78">
        <v>1000</v>
      </c>
      <c r="G498" s="68">
        <f>+F498</f>
        <v>1000</v>
      </c>
      <c r="H498" s="4">
        <f t="shared" ref="H498" si="28">E498-D498+1</f>
        <v>31</v>
      </c>
      <c r="I498" s="3"/>
    </row>
    <row r="499" spans="1:9" x14ac:dyDescent="0.25">
      <c r="A499" s="225"/>
      <c r="B499" s="226" t="s">
        <v>20</v>
      </c>
      <c r="C499" s="227"/>
      <c r="D499" s="227"/>
      <c r="E499" s="227"/>
      <c r="F499" s="228"/>
      <c r="G499" s="69">
        <f>SUM(G498:G498)</f>
        <v>1000</v>
      </c>
      <c r="H499" s="8"/>
      <c r="I499" s="3"/>
    </row>
    <row r="500" spans="1:9" x14ac:dyDescent="0.25">
      <c r="A500" s="59" t="str">
        <f>ROMAN(2,0)</f>
        <v>II</v>
      </c>
      <c r="B500" s="22" t="s">
        <v>56</v>
      </c>
      <c r="C500" s="59"/>
      <c r="D500" s="59"/>
      <c r="E500" s="59"/>
      <c r="F500" s="59"/>
      <c r="G500" s="69"/>
      <c r="H500" s="8"/>
      <c r="I500" s="8"/>
    </row>
    <row r="501" spans="1:9" x14ac:dyDescent="0.25">
      <c r="A501" s="42">
        <v>1</v>
      </c>
      <c r="B501" s="80" t="s">
        <v>58</v>
      </c>
      <c r="C501" s="42" t="s">
        <v>57</v>
      </c>
      <c r="D501" s="42"/>
      <c r="E501" s="59"/>
      <c r="F501" s="79">
        <v>65</v>
      </c>
      <c r="G501" s="79"/>
      <c r="H501" s="4"/>
      <c r="I501" s="23"/>
    </row>
    <row r="502" spans="1:9" x14ac:dyDescent="0.25">
      <c r="A502" s="42">
        <v>2</v>
      </c>
      <c r="B502" s="80" t="s">
        <v>73</v>
      </c>
      <c r="C502" s="42" t="s">
        <v>57</v>
      </c>
      <c r="D502" s="42"/>
      <c r="E502" s="59"/>
      <c r="F502" s="79">
        <v>1</v>
      </c>
      <c r="G502" s="79"/>
      <c r="H502" s="8"/>
      <c r="I502" s="23"/>
    </row>
    <row r="503" spans="1:9" x14ac:dyDescent="0.25">
      <c r="F503" s="84"/>
    </row>
    <row r="504" spans="1:9" x14ac:dyDescent="0.25">
      <c r="A504" s="5" t="s">
        <v>60</v>
      </c>
    </row>
    <row r="505" spans="1:9" x14ac:dyDescent="0.25">
      <c r="A505" s="236" t="s">
        <v>21</v>
      </c>
      <c r="B505" s="236"/>
      <c r="C505" s="236"/>
      <c r="D505" s="236"/>
      <c r="E505" s="236" t="s">
        <v>22</v>
      </c>
      <c r="F505" s="236"/>
      <c r="G505" s="236"/>
      <c r="H505" s="236"/>
      <c r="I505" s="236"/>
    </row>
    <row r="511" spans="1:9" ht="15.75" x14ac:dyDescent="0.25">
      <c r="A511" s="197" t="s">
        <v>1</v>
      </c>
      <c r="B511" s="197"/>
      <c r="C511" s="197"/>
      <c r="D511" s="197"/>
      <c r="E511" s="197"/>
      <c r="F511" s="197"/>
      <c r="G511" s="197"/>
      <c r="H511" s="197"/>
      <c r="I511" s="197"/>
    </row>
    <row r="512" spans="1:9" ht="15.75" x14ac:dyDescent="0.25">
      <c r="A512" s="197" t="s">
        <v>2</v>
      </c>
      <c r="B512" s="197"/>
      <c r="C512" s="197"/>
      <c r="D512" s="197"/>
      <c r="E512" s="197"/>
      <c r="F512" s="197"/>
      <c r="G512" s="197"/>
      <c r="H512" s="197"/>
      <c r="I512" s="197"/>
    </row>
    <row r="513" spans="1:9" ht="15" x14ac:dyDescent="0.25">
      <c r="A513" s="18"/>
      <c r="B513" s="18"/>
      <c r="C513" s="18"/>
      <c r="D513" s="18"/>
      <c r="E513" s="18"/>
      <c r="F513" s="18"/>
      <c r="G513" s="18"/>
      <c r="H513" s="18"/>
      <c r="I513" s="18"/>
    </row>
    <row r="514" spans="1:9" ht="20.25" x14ac:dyDescent="0.25">
      <c r="A514" s="204" t="s">
        <v>132</v>
      </c>
      <c r="B514" s="204"/>
      <c r="C514" s="204"/>
      <c r="D514" s="204"/>
      <c r="E514" s="204"/>
      <c r="F514" s="204"/>
      <c r="G514" s="204"/>
      <c r="H514" s="204"/>
      <c r="I514" s="204"/>
    </row>
    <row r="515" spans="1:9" ht="15.75" x14ac:dyDescent="0.25">
      <c r="A515" s="197" t="s">
        <v>282</v>
      </c>
      <c r="B515" s="197"/>
      <c r="C515" s="197"/>
      <c r="D515" s="197"/>
      <c r="E515" s="197"/>
      <c r="F515" s="197"/>
      <c r="G515" s="197"/>
      <c r="H515" s="197"/>
      <c r="I515" s="197"/>
    </row>
    <row r="516" spans="1:9" ht="15.75" x14ac:dyDescent="0.25">
      <c r="A516" s="60"/>
      <c r="B516" s="60"/>
      <c r="C516" s="60"/>
      <c r="D516" s="60"/>
      <c r="E516" s="60"/>
      <c r="F516" s="60"/>
      <c r="G516" s="60"/>
      <c r="H516" s="60"/>
      <c r="I516" s="60"/>
    </row>
    <row r="517" spans="1:9" ht="34.5" customHeight="1" x14ac:dyDescent="0.25">
      <c r="A517" s="219" t="str">
        <f>'Giá trị'!$A$7:$K$7</f>
        <v>- Căn cứ Hợp đồng kinh tế số 0412/HĐKT2025/TP-VIETPANEL ký ngày 04/12/2025 giữa Công ty TNHH xây dựng Việt Panel và Công ty Cổ phần Tập đoàn Thiết bị xây dựng TP về việc cho thuê thiết bị xây dựng.</v>
      </c>
      <c r="B517" s="219"/>
      <c r="C517" s="219"/>
      <c r="D517" s="219"/>
      <c r="E517" s="219"/>
      <c r="F517" s="219"/>
      <c r="G517" s="219"/>
      <c r="H517" s="219"/>
      <c r="I517" s="219"/>
    </row>
    <row r="518" spans="1:9" x14ac:dyDescent="0.25">
      <c r="A518" s="6" t="s">
        <v>51</v>
      </c>
      <c r="B518" s="5" t="str">
        <f>'Giá trị'!$B$8</f>
        <v>Senci</v>
      </c>
      <c r="C518" s="30"/>
      <c r="D518" s="30"/>
      <c r="E518" s="30"/>
    </row>
    <row r="519" spans="1:9" x14ac:dyDescent="0.25">
      <c r="A519" s="6" t="s">
        <v>59</v>
      </c>
      <c r="B519" s="6" t="str">
        <f>'Giá trị'!$B$9</f>
        <v>KCN Phúc Điền, Hải Dương</v>
      </c>
      <c r="C519" s="30"/>
      <c r="D519" s="30"/>
      <c r="E519" s="30"/>
    </row>
    <row r="520" spans="1:9" x14ac:dyDescent="0.25">
      <c r="A520" s="6" t="s">
        <v>3</v>
      </c>
      <c r="C520" s="30"/>
      <c r="D520" s="30"/>
      <c r="E520" s="30"/>
    </row>
    <row r="521" spans="1:9" x14ac:dyDescent="0.25">
      <c r="A521" s="5" t="s">
        <v>172</v>
      </c>
      <c r="C521" s="30"/>
      <c r="D521" s="30"/>
      <c r="E521" s="30"/>
    </row>
    <row r="522" spans="1:9" x14ac:dyDescent="0.25">
      <c r="A522" s="7" t="str">
        <f>'Giá trị'!$A$12</f>
        <v>BÊN THUÊ (BÊN A): CÔNG TY TNHH XÂY DỰNG VIỆT PANEL</v>
      </c>
      <c r="B522" s="7"/>
      <c r="C522" s="40"/>
      <c r="D522" s="40"/>
      <c r="E522" s="40"/>
      <c r="F522" s="7"/>
      <c r="G522" s="7"/>
      <c r="H522" s="7"/>
      <c r="I522" s="7"/>
    </row>
    <row r="523" spans="1:9" x14ac:dyDescent="0.25">
      <c r="A523" s="5" t="s">
        <v>125</v>
      </c>
      <c r="B523" s="5" t="str">
        <f>'Giá trị'!$B$13</f>
        <v>Thôn Đông Phù, Xã Tiên Du, Tỉnh Bắc Ninh, Việt Nam</v>
      </c>
      <c r="C523" s="30"/>
      <c r="D523" s="30"/>
      <c r="E523" s="30"/>
    </row>
    <row r="524" spans="1:9" x14ac:dyDescent="0.25">
      <c r="A524" s="5" t="s">
        <v>5</v>
      </c>
      <c r="C524" s="198" t="str">
        <f>'Giá trị'!$C$14:$D$14</f>
        <v>0222 6535 699</v>
      </c>
      <c r="D524" s="208"/>
    </row>
    <row r="525" spans="1:9" x14ac:dyDescent="0.25">
      <c r="A525" s="5" t="s">
        <v>4</v>
      </c>
      <c r="C525" s="209">
        <f>'Giá trị'!$C$15:$D$15</f>
        <v>616139999</v>
      </c>
      <c r="D525" s="209"/>
      <c r="E525" s="41" t="str">
        <f>'Giá trị'!$E$15</f>
        <v>Tại MB Ngân hàng quân đội</v>
      </c>
    </row>
    <row r="526" spans="1:9" x14ac:dyDescent="0.25">
      <c r="A526" s="5" t="s">
        <v>6</v>
      </c>
      <c r="B526" s="6"/>
      <c r="C526" s="198" t="str">
        <f>'Giá trị'!$C$16:$D$16</f>
        <v>2300856941</v>
      </c>
      <c r="D526" s="198"/>
      <c r="E526" s="6"/>
      <c r="F526" s="6"/>
    </row>
    <row r="527" spans="1:9" x14ac:dyDescent="0.25">
      <c r="A527" s="5" t="s">
        <v>7</v>
      </c>
      <c r="C527" s="7" t="str">
        <f>'Giá trị'!$C$17</f>
        <v>Ông Lưu Đình Cải</v>
      </c>
      <c r="D527" s="40"/>
      <c r="E527" s="5" t="str">
        <f>'Giá trị'!$E$17</f>
        <v>Chức vụ: Giám đốc</v>
      </c>
    </row>
    <row r="528" spans="1:9" x14ac:dyDescent="0.25">
      <c r="C528" s="30"/>
      <c r="D528" s="30"/>
      <c r="E528" s="30"/>
    </row>
    <row r="529" spans="1:9" x14ac:dyDescent="0.25">
      <c r="A529" s="7" t="s">
        <v>8</v>
      </c>
      <c r="B529" s="7"/>
      <c r="C529" s="40"/>
      <c r="D529" s="40"/>
      <c r="E529" s="40"/>
      <c r="F529" s="7"/>
      <c r="G529" s="7"/>
      <c r="H529" s="7"/>
      <c r="I529" s="7"/>
    </row>
    <row r="530" spans="1:9" x14ac:dyDescent="0.25">
      <c r="A530" s="5" t="s">
        <v>115</v>
      </c>
      <c r="C530" s="30"/>
      <c r="D530" s="30"/>
      <c r="E530" s="30"/>
    </row>
    <row r="531" spans="1:9" x14ac:dyDescent="0.25">
      <c r="A531" s="5" t="s">
        <v>5</v>
      </c>
      <c r="C531" s="6" t="s">
        <v>9</v>
      </c>
      <c r="D531" s="24"/>
      <c r="E531" s="30"/>
    </row>
    <row r="532" spans="1:9" x14ac:dyDescent="0.25">
      <c r="A532" s="5" t="s">
        <v>10</v>
      </c>
      <c r="C532" s="32" t="str">
        <f>'Giá trị'!$C$22</f>
        <v>8331100096008</v>
      </c>
      <c r="D532" s="17"/>
      <c r="E532" s="201" t="str">
        <f>$E$22</f>
        <v>Tại Ngân hàng Thương mại cổ phần Quân đội - Chi nhánh Hoàng Quốc Việt</v>
      </c>
      <c r="F532" s="201"/>
      <c r="G532" s="201"/>
      <c r="H532" s="201"/>
      <c r="I532" s="201"/>
    </row>
    <row r="533" spans="1:9" x14ac:dyDescent="0.25">
      <c r="A533" s="5" t="s">
        <v>6</v>
      </c>
      <c r="C533" s="6" t="s">
        <v>19</v>
      </c>
      <c r="D533" s="24"/>
      <c r="E533" s="41"/>
    </row>
    <row r="534" spans="1:9" x14ac:dyDescent="0.25">
      <c r="A534" s="5" t="s">
        <v>7</v>
      </c>
      <c r="C534" s="7" t="s">
        <v>116</v>
      </c>
      <c r="D534" s="40"/>
      <c r="E534" s="41" t="s">
        <v>117</v>
      </c>
    </row>
    <row r="535" spans="1:9" x14ac:dyDescent="0.25">
      <c r="C535" s="30"/>
      <c r="D535" s="30"/>
      <c r="E535" s="30"/>
    </row>
    <row r="536" spans="1:9" x14ac:dyDescent="0.25">
      <c r="A536" s="5" t="s">
        <v>287</v>
      </c>
      <c r="C536" s="30"/>
      <c r="D536" s="30"/>
      <c r="E536" s="30"/>
    </row>
    <row r="537" spans="1:9" ht="49.5" x14ac:dyDescent="0.25">
      <c r="A537" s="3" t="s">
        <v>12</v>
      </c>
      <c r="B537" s="133" t="s">
        <v>13</v>
      </c>
      <c r="C537" s="133" t="s">
        <v>23</v>
      </c>
      <c r="D537" s="133" t="s">
        <v>61</v>
      </c>
      <c r="E537" s="133" t="s">
        <v>14</v>
      </c>
      <c r="F537" s="133" t="s">
        <v>15</v>
      </c>
      <c r="G537" s="133" t="s">
        <v>16</v>
      </c>
      <c r="H537" s="133" t="s">
        <v>62</v>
      </c>
      <c r="I537" s="3" t="s">
        <v>18</v>
      </c>
    </row>
    <row r="538" spans="1:9" x14ac:dyDescent="0.25">
      <c r="A538" s="3" t="str">
        <f>ROMAN(1,0)</f>
        <v>I</v>
      </c>
      <c r="B538" s="134" t="s">
        <v>55</v>
      </c>
      <c r="C538" s="133"/>
      <c r="D538" s="133"/>
      <c r="E538" s="133"/>
      <c r="F538" s="133"/>
      <c r="G538" s="133"/>
      <c r="H538" s="133"/>
      <c r="I538" s="3"/>
    </row>
    <row r="539" spans="1:9" ht="17.25" x14ac:dyDescent="0.25">
      <c r="A539" s="229">
        <v>1</v>
      </c>
      <c r="B539" s="103" t="s">
        <v>148</v>
      </c>
      <c r="C539" s="130" t="s">
        <v>49</v>
      </c>
      <c r="D539" s="105">
        <v>46138</v>
      </c>
      <c r="E539" s="105">
        <v>46167</v>
      </c>
      <c r="F539" s="106">
        <v>21400</v>
      </c>
      <c r="G539" s="107">
        <f>+F539</f>
        <v>21400</v>
      </c>
      <c r="H539" s="108">
        <f>E539-D539+1</f>
        <v>30</v>
      </c>
      <c r="I539" s="3"/>
    </row>
    <row r="540" spans="1:9" ht="17.25" x14ac:dyDescent="0.25">
      <c r="A540" s="229"/>
      <c r="B540" s="103" t="s">
        <v>148</v>
      </c>
      <c r="C540" s="130" t="s">
        <v>49</v>
      </c>
      <c r="D540" s="109">
        <v>46147</v>
      </c>
      <c r="E540" s="105">
        <v>46167</v>
      </c>
      <c r="F540" s="110"/>
      <c r="G540" s="107">
        <v>-400</v>
      </c>
      <c r="H540" s="108">
        <f t="shared" ref="H540:H543" si="29">E540-D540+1</f>
        <v>21</v>
      </c>
      <c r="I540" s="3"/>
    </row>
    <row r="541" spans="1:9" ht="17.25" x14ac:dyDescent="0.25">
      <c r="A541" s="229"/>
      <c r="B541" s="103" t="s">
        <v>148</v>
      </c>
      <c r="C541" s="130" t="s">
        <v>49</v>
      </c>
      <c r="D541" s="109">
        <v>46153</v>
      </c>
      <c r="E541" s="105">
        <v>46167</v>
      </c>
      <c r="F541" s="110"/>
      <c r="G541" s="107">
        <v>-200</v>
      </c>
      <c r="H541" s="108">
        <f t="shared" si="29"/>
        <v>15</v>
      </c>
      <c r="I541" s="3"/>
    </row>
    <row r="542" spans="1:9" ht="17.25" x14ac:dyDescent="0.25">
      <c r="A542" s="229"/>
      <c r="B542" s="103" t="s">
        <v>148</v>
      </c>
      <c r="C542" s="130" t="s">
        <v>49</v>
      </c>
      <c r="D542" s="109">
        <v>46155</v>
      </c>
      <c r="E542" s="105">
        <v>46167</v>
      </c>
      <c r="F542" s="110"/>
      <c r="G542" s="107">
        <v>-200</v>
      </c>
      <c r="H542" s="108">
        <f t="shared" si="29"/>
        <v>13</v>
      </c>
      <c r="I542" s="3"/>
    </row>
    <row r="543" spans="1:9" ht="17.25" x14ac:dyDescent="0.25">
      <c r="A543" s="229"/>
      <c r="B543" s="103" t="s">
        <v>148</v>
      </c>
      <c r="C543" s="130" t="s">
        <v>49</v>
      </c>
      <c r="D543" s="109">
        <v>46159</v>
      </c>
      <c r="E543" s="105">
        <v>46167</v>
      </c>
      <c r="F543" s="110"/>
      <c r="G543" s="107">
        <v>-12</v>
      </c>
      <c r="H543" s="108">
        <f t="shared" si="29"/>
        <v>9</v>
      </c>
      <c r="I543" s="3"/>
    </row>
    <row r="544" spans="1:9" x14ac:dyDescent="0.25">
      <c r="A544" s="229"/>
      <c r="B544" s="215" t="s">
        <v>20</v>
      </c>
      <c r="C544" s="216"/>
      <c r="D544" s="216"/>
      <c r="E544" s="216"/>
      <c r="F544" s="217"/>
      <c r="G544" s="111">
        <f>SUM(G539:G543)</f>
        <v>20588</v>
      </c>
      <c r="H544" s="108"/>
      <c r="I544" s="3"/>
    </row>
    <row r="545" spans="1:9" ht="17.25" x14ac:dyDescent="0.25">
      <c r="A545" s="224">
        <v>2</v>
      </c>
      <c r="B545" s="103" t="s">
        <v>122</v>
      </c>
      <c r="C545" s="130" t="s">
        <v>49</v>
      </c>
      <c r="D545" s="105">
        <v>46138</v>
      </c>
      <c r="E545" s="105">
        <v>46167</v>
      </c>
      <c r="F545" s="106">
        <v>34500</v>
      </c>
      <c r="G545" s="107">
        <f>+F545</f>
        <v>34500</v>
      </c>
      <c r="H545" s="108">
        <f t="shared" ref="H545:H554" si="30">E545-D545+1</f>
        <v>30</v>
      </c>
      <c r="I545" s="3"/>
    </row>
    <row r="546" spans="1:9" ht="17.25" x14ac:dyDescent="0.25">
      <c r="A546" s="230"/>
      <c r="B546" s="103" t="s">
        <v>122</v>
      </c>
      <c r="C546" s="130" t="s">
        <v>49</v>
      </c>
      <c r="D546" s="109">
        <v>46147</v>
      </c>
      <c r="E546" s="105">
        <v>46167</v>
      </c>
      <c r="F546" s="110"/>
      <c r="G546" s="107">
        <v>-1000</v>
      </c>
      <c r="H546" s="108">
        <f t="shared" si="30"/>
        <v>21</v>
      </c>
      <c r="I546" s="3"/>
    </row>
    <row r="547" spans="1:9" ht="17.25" x14ac:dyDescent="0.25">
      <c r="A547" s="230"/>
      <c r="B547" s="103" t="s">
        <v>122</v>
      </c>
      <c r="C547" s="130" t="s">
        <v>49</v>
      </c>
      <c r="D547" s="109">
        <v>46150</v>
      </c>
      <c r="E547" s="105">
        <v>46167</v>
      </c>
      <c r="F547" s="110"/>
      <c r="G547" s="107">
        <v>-200</v>
      </c>
      <c r="H547" s="108">
        <f t="shared" si="30"/>
        <v>18</v>
      </c>
      <c r="I547" s="3"/>
    </row>
    <row r="548" spans="1:9" ht="17.25" x14ac:dyDescent="0.25">
      <c r="A548" s="230"/>
      <c r="B548" s="103" t="s">
        <v>122</v>
      </c>
      <c r="C548" s="130" t="s">
        <v>49</v>
      </c>
      <c r="D548" s="109">
        <v>46153</v>
      </c>
      <c r="E548" s="105">
        <v>46167</v>
      </c>
      <c r="F548" s="110"/>
      <c r="G548" s="107">
        <v>-600</v>
      </c>
      <c r="H548" s="108">
        <f t="shared" si="30"/>
        <v>15</v>
      </c>
      <c r="I548" s="3"/>
    </row>
    <row r="549" spans="1:9" ht="17.25" x14ac:dyDescent="0.25">
      <c r="A549" s="230"/>
      <c r="B549" s="103" t="s">
        <v>122</v>
      </c>
      <c r="C549" s="130" t="s">
        <v>49</v>
      </c>
      <c r="D549" s="109">
        <v>46155</v>
      </c>
      <c r="E549" s="105">
        <v>46167</v>
      </c>
      <c r="F549" s="110"/>
      <c r="G549" s="107">
        <v>-500</v>
      </c>
      <c r="H549" s="108">
        <f t="shared" si="30"/>
        <v>13</v>
      </c>
      <c r="I549" s="3"/>
    </row>
    <row r="550" spans="1:9" ht="17.25" x14ac:dyDescent="0.25">
      <c r="A550" s="230"/>
      <c r="B550" s="103" t="s">
        <v>122</v>
      </c>
      <c r="C550" s="130" t="s">
        <v>49</v>
      </c>
      <c r="D550" s="109">
        <v>46157</v>
      </c>
      <c r="E550" s="105">
        <v>46167</v>
      </c>
      <c r="F550" s="110"/>
      <c r="G550" s="107">
        <v>-500</v>
      </c>
      <c r="H550" s="108">
        <f t="shared" si="30"/>
        <v>11</v>
      </c>
      <c r="I550" s="3"/>
    </row>
    <row r="551" spans="1:9" ht="17.25" x14ac:dyDescent="0.25">
      <c r="A551" s="230"/>
      <c r="B551" s="103" t="s">
        <v>122</v>
      </c>
      <c r="C551" s="130" t="s">
        <v>49</v>
      </c>
      <c r="D551" s="109">
        <v>46159</v>
      </c>
      <c r="E551" s="105">
        <v>46167</v>
      </c>
      <c r="F551" s="110"/>
      <c r="G551" s="107">
        <v>-199</v>
      </c>
      <c r="H551" s="108">
        <f t="shared" si="30"/>
        <v>9</v>
      </c>
      <c r="I551" s="3"/>
    </row>
    <row r="552" spans="1:9" ht="17.25" x14ac:dyDescent="0.25">
      <c r="A552" s="230"/>
      <c r="B552" s="103" t="s">
        <v>122</v>
      </c>
      <c r="C552" s="130" t="s">
        <v>49</v>
      </c>
      <c r="D552" s="109">
        <v>46162</v>
      </c>
      <c r="E552" s="105">
        <v>46167</v>
      </c>
      <c r="F552" s="110"/>
      <c r="G552" s="107">
        <v>-500</v>
      </c>
      <c r="H552" s="108">
        <f t="shared" si="30"/>
        <v>6</v>
      </c>
      <c r="I552" s="3"/>
    </row>
    <row r="553" spans="1:9" ht="17.25" x14ac:dyDescent="0.25">
      <c r="A553" s="230"/>
      <c r="B553" s="103" t="s">
        <v>122</v>
      </c>
      <c r="C553" s="130" t="s">
        <v>49</v>
      </c>
      <c r="D553" s="109">
        <v>46163</v>
      </c>
      <c r="E553" s="105">
        <v>46167</v>
      </c>
      <c r="F553" s="110"/>
      <c r="G553" s="107">
        <v>-300</v>
      </c>
      <c r="H553" s="108">
        <f t="shared" si="30"/>
        <v>5</v>
      </c>
      <c r="I553" s="3"/>
    </row>
    <row r="554" spans="1:9" ht="17.25" x14ac:dyDescent="0.25">
      <c r="A554" s="230"/>
      <c r="B554" s="103" t="s">
        <v>122</v>
      </c>
      <c r="C554" s="130" t="s">
        <v>49</v>
      </c>
      <c r="D554" s="109">
        <v>46165</v>
      </c>
      <c r="E554" s="105">
        <v>46167</v>
      </c>
      <c r="F554" s="110"/>
      <c r="G554" s="107">
        <v>-100</v>
      </c>
      <c r="H554" s="108">
        <f t="shared" si="30"/>
        <v>3</v>
      </c>
      <c r="I554" s="3"/>
    </row>
    <row r="555" spans="1:9" x14ac:dyDescent="0.25">
      <c r="A555" s="225"/>
      <c r="B555" s="215" t="s">
        <v>20</v>
      </c>
      <c r="C555" s="216"/>
      <c r="D555" s="216"/>
      <c r="E555" s="216"/>
      <c r="F555" s="217"/>
      <c r="G555" s="111">
        <f>SUM(G545:G554)</f>
        <v>30601</v>
      </c>
      <c r="H555" s="108"/>
      <c r="I555" s="3"/>
    </row>
    <row r="556" spans="1:9" ht="17.25" x14ac:dyDescent="0.25">
      <c r="A556" s="224">
        <v>3</v>
      </c>
      <c r="B556" s="103" t="s">
        <v>118</v>
      </c>
      <c r="C556" s="130" t="s">
        <v>49</v>
      </c>
      <c r="D556" s="105">
        <v>46138</v>
      </c>
      <c r="E556" s="105">
        <v>46167</v>
      </c>
      <c r="F556" s="106">
        <v>14800</v>
      </c>
      <c r="G556" s="107">
        <f>+F556</f>
        <v>14800</v>
      </c>
      <c r="H556" s="108">
        <f t="shared" ref="H556:H562" si="31">E556-D556+1</f>
        <v>30</v>
      </c>
      <c r="I556" s="3"/>
    </row>
    <row r="557" spans="1:9" ht="17.25" x14ac:dyDescent="0.25">
      <c r="A557" s="230"/>
      <c r="B557" s="103" t="s">
        <v>118</v>
      </c>
      <c r="C557" s="130" t="s">
        <v>49</v>
      </c>
      <c r="D557" s="109">
        <v>46155</v>
      </c>
      <c r="E557" s="105">
        <v>46167</v>
      </c>
      <c r="F557" s="110"/>
      <c r="G557" s="107">
        <v>-100</v>
      </c>
      <c r="H557" s="108">
        <f t="shared" si="31"/>
        <v>13</v>
      </c>
      <c r="I557" s="3"/>
    </row>
    <row r="558" spans="1:9" ht="17.25" x14ac:dyDescent="0.25">
      <c r="A558" s="230"/>
      <c r="B558" s="103" t="s">
        <v>118</v>
      </c>
      <c r="C558" s="130" t="s">
        <v>49</v>
      </c>
      <c r="D558" s="109">
        <v>46157</v>
      </c>
      <c r="E558" s="105">
        <v>46167</v>
      </c>
      <c r="F558" s="110"/>
      <c r="G558" s="107">
        <v>-200</v>
      </c>
      <c r="H558" s="108">
        <f t="shared" si="31"/>
        <v>11</v>
      </c>
      <c r="I558" s="3"/>
    </row>
    <row r="559" spans="1:9" ht="17.25" x14ac:dyDescent="0.25">
      <c r="A559" s="230"/>
      <c r="B559" s="103" t="s">
        <v>118</v>
      </c>
      <c r="C559" s="130" t="s">
        <v>49</v>
      </c>
      <c r="D559" s="109">
        <v>46159</v>
      </c>
      <c r="E559" s="105">
        <v>46167</v>
      </c>
      <c r="F559" s="110"/>
      <c r="G559" s="107">
        <v>-300</v>
      </c>
      <c r="H559" s="108">
        <f t="shared" si="31"/>
        <v>9</v>
      </c>
      <c r="I559" s="3"/>
    </row>
    <row r="560" spans="1:9" ht="17.25" x14ac:dyDescent="0.25">
      <c r="A560" s="230"/>
      <c r="B560" s="103" t="s">
        <v>118</v>
      </c>
      <c r="C560" s="130" t="s">
        <v>49</v>
      </c>
      <c r="D560" s="109">
        <v>46162</v>
      </c>
      <c r="E560" s="105">
        <v>46167</v>
      </c>
      <c r="F560" s="110"/>
      <c r="G560" s="107">
        <v>-100</v>
      </c>
      <c r="H560" s="108">
        <f t="shared" si="31"/>
        <v>6</v>
      </c>
      <c r="I560" s="3"/>
    </row>
    <row r="561" spans="1:9" ht="17.25" x14ac:dyDescent="0.25">
      <c r="A561" s="230"/>
      <c r="B561" s="103" t="s">
        <v>118</v>
      </c>
      <c r="C561" s="130" t="s">
        <v>49</v>
      </c>
      <c r="D561" s="109">
        <v>46163</v>
      </c>
      <c r="E561" s="105">
        <v>46167</v>
      </c>
      <c r="F561" s="110"/>
      <c r="G561" s="107">
        <v>-500</v>
      </c>
      <c r="H561" s="108">
        <f t="shared" si="31"/>
        <v>5</v>
      </c>
      <c r="I561" s="3"/>
    </row>
    <row r="562" spans="1:9" ht="17.25" x14ac:dyDescent="0.25">
      <c r="A562" s="230"/>
      <c r="B562" s="103" t="s">
        <v>118</v>
      </c>
      <c r="C562" s="130" t="s">
        <v>49</v>
      </c>
      <c r="D562" s="109">
        <v>46165</v>
      </c>
      <c r="E562" s="105">
        <v>46167</v>
      </c>
      <c r="F562" s="110"/>
      <c r="G562" s="107">
        <v>-400</v>
      </c>
      <c r="H562" s="108">
        <f t="shared" si="31"/>
        <v>3</v>
      </c>
      <c r="I562" s="3"/>
    </row>
    <row r="563" spans="1:9" x14ac:dyDescent="0.25">
      <c r="A563" s="225"/>
      <c r="B563" s="215" t="s">
        <v>20</v>
      </c>
      <c r="C563" s="216"/>
      <c r="D563" s="216"/>
      <c r="E563" s="216"/>
      <c r="F563" s="217"/>
      <c r="G563" s="111">
        <f>SUM(G556:G562)</f>
        <v>13200</v>
      </c>
      <c r="H563" s="108"/>
      <c r="I563" s="3"/>
    </row>
    <row r="564" spans="1:9" ht="17.25" x14ac:dyDescent="0.25">
      <c r="A564" s="224">
        <v>4</v>
      </c>
      <c r="B564" s="103" t="s">
        <v>50</v>
      </c>
      <c r="C564" s="130" t="s">
        <v>49</v>
      </c>
      <c r="D564" s="105">
        <v>46138</v>
      </c>
      <c r="E564" s="105">
        <v>46167</v>
      </c>
      <c r="F564" s="106">
        <v>52747</v>
      </c>
      <c r="G564" s="107">
        <f>+F564</f>
        <v>52747</v>
      </c>
      <c r="H564" s="108">
        <f t="shared" ref="H564:H576" si="32">E564-D564+1</f>
        <v>30</v>
      </c>
      <c r="I564" s="3"/>
    </row>
    <row r="565" spans="1:9" ht="17.25" x14ac:dyDescent="0.25">
      <c r="A565" s="230"/>
      <c r="B565" s="103" t="s">
        <v>50</v>
      </c>
      <c r="C565" s="130" t="s">
        <v>49</v>
      </c>
      <c r="D565" s="105">
        <v>46147</v>
      </c>
      <c r="E565" s="105">
        <v>46167</v>
      </c>
      <c r="F565" s="106"/>
      <c r="G565" s="107">
        <v>-600</v>
      </c>
      <c r="H565" s="108">
        <f t="shared" si="32"/>
        <v>21</v>
      </c>
      <c r="I565" s="3"/>
    </row>
    <row r="566" spans="1:9" ht="17.25" x14ac:dyDescent="0.25">
      <c r="A566" s="230"/>
      <c r="B566" s="103" t="s">
        <v>50</v>
      </c>
      <c r="C566" s="130" t="s">
        <v>49</v>
      </c>
      <c r="D566" s="105">
        <v>46150</v>
      </c>
      <c r="E566" s="105">
        <v>46167</v>
      </c>
      <c r="F566" s="106"/>
      <c r="G566" s="107">
        <v>-1800</v>
      </c>
      <c r="H566" s="108">
        <f t="shared" si="32"/>
        <v>18</v>
      </c>
      <c r="I566" s="3"/>
    </row>
    <row r="567" spans="1:9" ht="17.25" x14ac:dyDescent="0.25">
      <c r="A567" s="230"/>
      <c r="B567" s="103" t="s">
        <v>50</v>
      </c>
      <c r="C567" s="130" t="s">
        <v>49</v>
      </c>
      <c r="D567" s="105">
        <v>46153</v>
      </c>
      <c r="E567" s="105">
        <v>46167</v>
      </c>
      <c r="F567" s="106"/>
      <c r="G567" s="107">
        <v>-1300</v>
      </c>
      <c r="H567" s="108">
        <f t="shared" si="32"/>
        <v>15</v>
      </c>
      <c r="I567" s="3"/>
    </row>
    <row r="568" spans="1:9" ht="17.25" x14ac:dyDescent="0.25">
      <c r="A568" s="230"/>
      <c r="B568" s="103" t="s">
        <v>50</v>
      </c>
      <c r="C568" s="130" t="s">
        <v>49</v>
      </c>
      <c r="D568" s="105">
        <v>46155</v>
      </c>
      <c r="E568" s="105">
        <v>46167</v>
      </c>
      <c r="F568" s="106"/>
      <c r="G568" s="107">
        <v>-1400</v>
      </c>
      <c r="H568" s="108">
        <f t="shared" si="32"/>
        <v>13</v>
      </c>
      <c r="I568" s="3"/>
    </row>
    <row r="569" spans="1:9" ht="17.25" x14ac:dyDescent="0.25">
      <c r="A569" s="230"/>
      <c r="B569" s="103" t="s">
        <v>50</v>
      </c>
      <c r="C569" s="130" t="s">
        <v>49</v>
      </c>
      <c r="D569" s="105">
        <v>46157</v>
      </c>
      <c r="E569" s="105">
        <v>46167</v>
      </c>
      <c r="F569" s="106"/>
      <c r="G569" s="107">
        <v>-600</v>
      </c>
      <c r="H569" s="108">
        <f t="shared" si="32"/>
        <v>11</v>
      </c>
      <c r="I569" s="3"/>
    </row>
    <row r="570" spans="1:9" ht="17.25" x14ac:dyDescent="0.25">
      <c r="A570" s="230"/>
      <c r="B570" s="103" t="s">
        <v>50</v>
      </c>
      <c r="C570" s="130" t="s">
        <v>49</v>
      </c>
      <c r="D570" s="105">
        <v>46157</v>
      </c>
      <c r="E570" s="105">
        <v>46167</v>
      </c>
      <c r="F570" s="106"/>
      <c r="G570" s="107">
        <v>-200</v>
      </c>
      <c r="H570" s="108">
        <f t="shared" si="32"/>
        <v>11</v>
      </c>
      <c r="I570" s="3"/>
    </row>
    <row r="571" spans="1:9" ht="17.25" x14ac:dyDescent="0.25">
      <c r="A571" s="230"/>
      <c r="B571" s="103" t="s">
        <v>50</v>
      </c>
      <c r="C571" s="130" t="s">
        <v>49</v>
      </c>
      <c r="D571" s="105">
        <v>46162</v>
      </c>
      <c r="E571" s="105">
        <v>46167</v>
      </c>
      <c r="F571" s="106"/>
      <c r="G571" s="107">
        <v>-1100</v>
      </c>
      <c r="H571" s="108">
        <f t="shared" si="32"/>
        <v>6</v>
      </c>
      <c r="I571" s="3"/>
    </row>
    <row r="572" spans="1:9" ht="17.25" x14ac:dyDescent="0.25">
      <c r="A572" s="230"/>
      <c r="B572" s="103" t="s">
        <v>50</v>
      </c>
      <c r="C572" s="130" t="s">
        <v>49</v>
      </c>
      <c r="D572" s="105">
        <v>46162</v>
      </c>
      <c r="E572" s="105">
        <v>46167</v>
      </c>
      <c r="F572" s="106"/>
      <c r="G572" s="107">
        <v>-300</v>
      </c>
      <c r="H572" s="108">
        <f t="shared" si="32"/>
        <v>6</v>
      </c>
      <c r="I572" s="3"/>
    </row>
    <row r="573" spans="1:9" ht="17.25" x14ac:dyDescent="0.25">
      <c r="A573" s="230"/>
      <c r="B573" s="103" t="s">
        <v>50</v>
      </c>
      <c r="C573" s="130" t="s">
        <v>49</v>
      </c>
      <c r="D573" s="105">
        <v>46163</v>
      </c>
      <c r="E573" s="105">
        <v>46167</v>
      </c>
      <c r="F573" s="106"/>
      <c r="G573" s="107">
        <v>-800</v>
      </c>
      <c r="H573" s="108">
        <f t="shared" si="32"/>
        <v>5</v>
      </c>
      <c r="I573" s="3"/>
    </row>
    <row r="574" spans="1:9" ht="17.25" x14ac:dyDescent="0.25">
      <c r="A574" s="230"/>
      <c r="B574" s="103" t="s">
        <v>50</v>
      </c>
      <c r="C574" s="130" t="s">
        <v>49</v>
      </c>
      <c r="D574" s="105">
        <v>46163</v>
      </c>
      <c r="E574" s="105">
        <v>46167</v>
      </c>
      <c r="F574" s="106"/>
      <c r="G574" s="107">
        <v>-500</v>
      </c>
      <c r="H574" s="108">
        <f t="shared" si="32"/>
        <v>5</v>
      </c>
      <c r="I574" s="3"/>
    </row>
    <row r="575" spans="1:9" ht="17.25" x14ac:dyDescent="0.25">
      <c r="A575" s="230"/>
      <c r="B575" s="103" t="s">
        <v>50</v>
      </c>
      <c r="C575" s="130" t="s">
        <v>49</v>
      </c>
      <c r="D575" s="105">
        <v>46165</v>
      </c>
      <c r="E575" s="105">
        <v>46167</v>
      </c>
      <c r="F575" s="106"/>
      <c r="G575" s="107">
        <v>-700</v>
      </c>
      <c r="H575" s="108">
        <f t="shared" si="32"/>
        <v>3</v>
      </c>
      <c r="I575" s="3"/>
    </row>
    <row r="576" spans="1:9" ht="17.25" x14ac:dyDescent="0.25">
      <c r="A576" s="230"/>
      <c r="B576" s="103" t="s">
        <v>50</v>
      </c>
      <c r="C576" s="130" t="s">
        <v>49</v>
      </c>
      <c r="D576" s="105">
        <v>46165</v>
      </c>
      <c r="E576" s="105">
        <v>46167</v>
      </c>
      <c r="F576" s="106"/>
      <c r="G576" s="107">
        <v>-700</v>
      </c>
      <c r="H576" s="108">
        <f t="shared" si="32"/>
        <v>3</v>
      </c>
      <c r="I576" s="3"/>
    </row>
    <row r="577" spans="1:9" x14ac:dyDescent="0.25">
      <c r="A577" s="225"/>
      <c r="B577" s="210" t="s">
        <v>20</v>
      </c>
      <c r="C577" s="210"/>
      <c r="D577" s="210"/>
      <c r="E577" s="210"/>
      <c r="F577" s="210"/>
      <c r="G577" s="111">
        <f>SUM(G564:G576)</f>
        <v>42747</v>
      </c>
      <c r="H577" s="108"/>
      <c r="I577" s="3"/>
    </row>
    <row r="578" spans="1:9" ht="17.25" x14ac:dyDescent="0.25">
      <c r="A578" s="224">
        <v>5</v>
      </c>
      <c r="B578" s="103" t="s">
        <v>126</v>
      </c>
      <c r="C578" s="130" t="s">
        <v>24</v>
      </c>
      <c r="D578" s="105">
        <v>46138</v>
      </c>
      <c r="E578" s="105">
        <v>46167</v>
      </c>
      <c r="F578" s="106">
        <v>35500</v>
      </c>
      <c r="G578" s="107">
        <f>+F578</f>
        <v>35500</v>
      </c>
      <c r="H578" s="108">
        <f t="shared" ref="H578" si="33">E578-D578+1</f>
        <v>30</v>
      </c>
      <c r="I578" s="3"/>
    </row>
    <row r="579" spans="1:9" x14ac:dyDescent="0.25">
      <c r="A579" s="225"/>
      <c r="B579" s="215" t="s">
        <v>20</v>
      </c>
      <c r="C579" s="216"/>
      <c r="D579" s="216"/>
      <c r="E579" s="216"/>
      <c r="F579" s="217"/>
      <c r="G579" s="111">
        <f>SUM(G578:G578)</f>
        <v>35500</v>
      </c>
      <c r="H579" s="108"/>
      <c r="I579" s="3"/>
    </row>
    <row r="580" spans="1:9" ht="17.25" x14ac:dyDescent="0.25">
      <c r="A580" s="224">
        <v>6</v>
      </c>
      <c r="B580" s="103" t="s">
        <v>149</v>
      </c>
      <c r="C580" s="130" t="s">
        <v>24</v>
      </c>
      <c r="D580" s="105">
        <v>46138</v>
      </c>
      <c r="E580" s="105">
        <v>46167</v>
      </c>
      <c r="F580" s="106">
        <v>23840</v>
      </c>
      <c r="G580" s="107">
        <f>+F580</f>
        <v>23840</v>
      </c>
      <c r="H580" s="108">
        <f t="shared" ref="H580:H581" si="34">E580-D580+1</f>
        <v>30</v>
      </c>
      <c r="I580" s="3"/>
    </row>
    <row r="581" spans="1:9" ht="17.25" x14ac:dyDescent="0.25">
      <c r="A581" s="230"/>
      <c r="B581" s="103" t="s">
        <v>149</v>
      </c>
      <c r="C581" s="130" t="s">
        <v>24</v>
      </c>
      <c r="D581" s="109">
        <v>46159</v>
      </c>
      <c r="E581" s="105">
        <v>46167</v>
      </c>
      <c r="F581" s="110"/>
      <c r="G581" s="107">
        <v>-6</v>
      </c>
      <c r="H581" s="108">
        <f t="shared" si="34"/>
        <v>9</v>
      </c>
      <c r="I581" s="3"/>
    </row>
    <row r="582" spans="1:9" x14ac:dyDescent="0.25">
      <c r="A582" s="225"/>
      <c r="B582" s="215" t="s">
        <v>20</v>
      </c>
      <c r="C582" s="216"/>
      <c r="D582" s="216"/>
      <c r="E582" s="216"/>
      <c r="F582" s="217"/>
      <c r="G582" s="111">
        <f>SUM(G580:G581)</f>
        <v>23834</v>
      </c>
      <c r="H582" s="108"/>
      <c r="I582" s="3"/>
    </row>
    <row r="583" spans="1:9" ht="17.25" x14ac:dyDescent="0.25">
      <c r="A583" s="224">
        <v>7</v>
      </c>
      <c r="B583" s="103" t="s">
        <v>0</v>
      </c>
      <c r="C583" s="130" t="s">
        <v>24</v>
      </c>
      <c r="D583" s="105">
        <v>46138</v>
      </c>
      <c r="E583" s="105">
        <v>46167</v>
      </c>
      <c r="F583" s="106">
        <v>238505</v>
      </c>
      <c r="G583" s="107">
        <f>+F583</f>
        <v>238505</v>
      </c>
      <c r="H583" s="108">
        <f t="shared" ref="H583:H592" si="35">E583-D583+1</f>
        <v>30</v>
      </c>
      <c r="I583" s="3"/>
    </row>
    <row r="584" spans="1:9" ht="17.25" x14ac:dyDescent="0.25">
      <c r="A584" s="230"/>
      <c r="B584" s="103" t="s">
        <v>0</v>
      </c>
      <c r="C584" s="130" t="s">
        <v>24</v>
      </c>
      <c r="D584" s="109">
        <v>46147</v>
      </c>
      <c r="E584" s="105">
        <v>46167</v>
      </c>
      <c r="F584" s="110"/>
      <c r="G584" s="107">
        <v>-2730</v>
      </c>
      <c r="H584" s="108">
        <f t="shared" si="35"/>
        <v>21</v>
      </c>
      <c r="I584" s="3"/>
    </row>
    <row r="585" spans="1:9" ht="17.25" x14ac:dyDescent="0.25">
      <c r="A585" s="230"/>
      <c r="B585" s="103" t="s">
        <v>0</v>
      </c>
      <c r="C585" s="130" t="s">
        <v>24</v>
      </c>
      <c r="D585" s="109">
        <v>46150</v>
      </c>
      <c r="E585" s="105">
        <v>46167</v>
      </c>
      <c r="F585" s="110"/>
      <c r="G585" s="107">
        <v>-2730</v>
      </c>
      <c r="H585" s="108">
        <f t="shared" si="35"/>
        <v>18</v>
      </c>
      <c r="I585" s="3"/>
    </row>
    <row r="586" spans="1:9" ht="17.25" x14ac:dyDescent="0.25">
      <c r="A586" s="230"/>
      <c r="B586" s="103" t="s">
        <v>0</v>
      </c>
      <c r="C586" s="130" t="s">
        <v>24</v>
      </c>
      <c r="D586" s="109">
        <v>46153</v>
      </c>
      <c r="E586" s="105">
        <v>46167</v>
      </c>
      <c r="F586" s="110"/>
      <c r="G586" s="107">
        <v>-2772</v>
      </c>
      <c r="H586" s="108">
        <f t="shared" si="35"/>
        <v>15</v>
      </c>
      <c r="I586" s="3"/>
    </row>
    <row r="587" spans="1:9" ht="17.25" x14ac:dyDescent="0.25">
      <c r="A587" s="230"/>
      <c r="B587" s="103" t="s">
        <v>0</v>
      </c>
      <c r="C587" s="130" t="s">
        <v>24</v>
      </c>
      <c r="D587" s="109">
        <v>46155</v>
      </c>
      <c r="E587" s="105">
        <v>46167</v>
      </c>
      <c r="F587" s="110"/>
      <c r="G587" s="107">
        <v>-3696</v>
      </c>
      <c r="H587" s="108">
        <f t="shared" si="35"/>
        <v>13</v>
      </c>
      <c r="I587" s="3"/>
    </row>
    <row r="588" spans="1:9" ht="17.25" x14ac:dyDescent="0.25">
      <c r="A588" s="230"/>
      <c r="B588" s="103" t="s">
        <v>0</v>
      </c>
      <c r="C588" s="130" t="s">
        <v>24</v>
      </c>
      <c r="D588" s="109">
        <v>46157</v>
      </c>
      <c r="E588" s="105">
        <v>46167</v>
      </c>
      <c r="F588" s="110"/>
      <c r="G588" s="107">
        <v>-5544</v>
      </c>
      <c r="H588" s="108">
        <f t="shared" si="35"/>
        <v>11</v>
      </c>
      <c r="I588" s="3"/>
    </row>
    <row r="589" spans="1:9" ht="17.25" x14ac:dyDescent="0.25">
      <c r="A589" s="230"/>
      <c r="B589" s="103" t="s">
        <v>0</v>
      </c>
      <c r="C589" s="130" t="s">
        <v>24</v>
      </c>
      <c r="D589" s="109">
        <v>46159</v>
      </c>
      <c r="E589" s="105">
        <v>46167</v>
      </c>
      <c r="F589" s="110"/>
      <c r="G589" s="107">
        <v>-818</v>
      </c>
      <c r="H589" s="108">
        <f t="shared" si="35"/>
        <v>9</v>
      </c>
      <c r="I589" s="3"/>
    </row>
    <row r="590" spans="1:9" ht="17.25" x14ac:dyDescent="0.25">
      <c r="A590" s="230"/>
      <c r="B590" s="103" t="s">
        <v>0</v>
      </c>
      <c r="C590" s="130" t="s">
        <v>24</v>
      </c>
      <c r="D590" s="109">
        <v>46162</v>
      </c>
      <c r="E590" s="105">
        <v>46167</v>
      </c>
      <c r="F590" s="110"/>
      <c r="G590" s="107">
        <v>-2772</v>
      </c>
      <c r="H590" s="108">
        <f t="shared" si="35"/>
        <v>6</v>
      </c>
      <c r="I590" s="3"/>
    </row>
    <row r="591" spans="1:9" ht="17.25" x14ac:dyDescent="0.25">
      <c r="A591" s="230"/>
      <c r="B591" s="103" t="s">
        <v>0</v>
      </c>
      <c r="C591" s="130" t="s">
        <v>24</v>
      </c>
      <c r="D591" s="109">
        <v>46163</v>
      </c>
      <c r="E591" s="105">
        <v>46167</v>
      </c>
      <c r="F591" s="110"/>
      <c r="G591" s="107">
        <v>-2772</v>
      </c>
      <c r="H591" s="108">
        <f t="shared" si="35"/>
        <v>5</v>
      </c>
      <c r="I591" s="3"/>
    </row>
    <row r="592" spans="1:9" ht="17.25" x14ac:dyDescent="0.25">
      <c r="A592" s="230"/>
      <c r="B592" s="103" t="s">
        <v>0</v>
      </c>
      <c r="C592" s="130" t="s">
        <v>24</v>
      </c>
      <c r="D592" s="109">
        <v>46165</v>
      </c>
      <c r="E592" s="105">
        <v>46167</v>
      </c>
      <c r="F592" s="110"/>
      <c r="G592" s="107">
        <v>-2772</v>
      </c>
      <c r="H592" s="108">
        <f t="shared" si="35"/>
        <v>3</v>
      </c>
      <c r="I592" s="3"/>
    </row>
    <row r="593" spans="1:9" x14ac:dyDescent="0.25">
      <c r="A593" s="225"/>
      <c r="B593" s="215" t="s">
        <v>20</v>
      </c>
      <c r="C593" s="216"/>
      <c r="D593" s="216"/>
      <c r="E593" s="216"/>
      <c r="F593" s="217"/>
      <c r="G593" s="111">
        <f>SUM(G583:G592)</f>
        <v>211899</v>
      </c>
      <c r="H593" s="108"/>
      <c r="I593" s="3"/>
    </row>
    <row r="594" spans="1:9" x14ac:dyDescent="0.25">
      <c r="A594" s="224">
        <v>8</v>
      </c>
      <c r="B594" s="103" t="s">
        <v>150</v>
      </c>
      <c r="C594" s="130" t="s">
        <v>24</v>
      </c>
      <c r="D594" s="105">
        <v>46138</v>
      </c>
      <c r="E594" s="105">
        <v>46167</v>
      </c>
      <c r="F594" s="111">
        <v>33150</v>
      </c>
      <c r="G594" s="112">
        <f>+F594</f>
        <v>33150</v>
      </c>
      <c r="H594" s="108">
        <f t="shared" ref="H594" si="36">E594-D594+1</f>
        <v>30</v>
      </c>
      <c r="I594" s="3"/>
    </row>
    <row r="595" spans="1:9" x14ac:dyDescent="0.25">
      <c r="A595" s="225"/>
      <c r="B595" s="215" t="s">
        <v>20</v>
      </c>
      <c r="C595" s="216"/>
      <c r="D595" s="216"/>
      <c r="E595" s="216"/>
      <c r="F595" s="217"/>
      <c r="G595" s="111">
        <f>SUM(G594:G594)</f>
        <v>33150</v>
      </c>
      <c r="H595" s="108"/>
      <c r="I595" s="3"/>
    </row>
    <row r="596" spans="1:9" ht="17.25" x14ac:dyDescent="0.25">
      <c r="A596" s="224">
        <v>9</v>
      </c>
      <c r="B596" s="103" t="s">
        <v>151</v>
      </c>
      <c r="C596" s="130" t="s">
        <v>24</v>
      </c>
      <c r="D596" s="105">
        <v>46138</v>
      </c>
      <c r="E596" s="105">
        <v>46167</v>
      </c>
      <c r="F596" s="106">
        <v>31850</v>
      </c>
      <c r="G596" s="107">
        <f>+F596</f>
        <v>31850</v>
      </c>
      <c r="H596" s="108">
        <f t="shared" ref="H596" si="37">E596-D596+1</f>
        <v>30</v>
      </c>
      <c r="I596" s="3"/>
    </row>
    <row r="597" spans="1:9" x14ac:dyDescent="0.25">
      <c r="A597" s="225"/>
      <c r="B597" s="215" t="s">
        <v>20</v>
      </c>
      <c r="C597" s="216"/>
      <c r="D597" s="216"/>
      <c r="E597" s="216"/>
      <c r="F597" s="217"/>
      <c r="G597" s="111">
        <f>SUM(G596:G596)</f>
        <v>31850</v>
      </c>
      <c r="H597" s="108"/>
      <c r="I597" s="3"/>
    </row>
    <row r="598" spans="1:9" ht="17.25" x14ac:dyDescent="0.25">
      <c r="A598" s="224">
        <v>10</v>
      </c>
      <c r="B598" s="103" t="s">
        <v>171</v>
      </c>
      <c r="C598" s="130" t="s">
        <v>24</v>
      </c>
      <c r="D598" s="105">
        <v>46138</v>
      </c>
      <c r="E598" s="105">
        <v>46167</v>
      </c>
      <c r="F598" s="106">
        <v>1000</v>
      </c>
      <c r="G598" s="107">
        <f>+F598</f>
        <v>1000</v>
      </c>
      <c r="H598" s="108">
        <f t="shared" ref="H598" si="38">E598-D598+1</f>
        <v>30</v>
      </c>
      <c r="I598" s="3"/>
    </row>
    <row r="599" spans="1:9" x14ac:dyDescent="0.25">
      <c r="A599" s="225"/>
      <c r="B599" s="215" t="s">
        <v>20</v>
      </c>
      <c r="C599" s="216"/>
      <c r="D599" s="216"/>
      <c r="E599" s="216"/>
      <c r="F599" s="217"/>
      <c r="G599" s="111">
        <f>SUM(G598:G598)</f>
        <v>1000</v>
      </c>
      <c r="H599" s="114"/>
      <c r="I599" s="3"/>
    </row>
    <row r="600" spans="1:9" x14ac:dyDescent="0.25">
      <c r="A600" s="59" t="str">
        <f>ROMAN(2,0)</f>
        <v>II</v>
      </c>
      <c r="B600" s="116" t="s">
        <v>56</v>
      </c>
      <c r="C600" s="128"/>
      <c r="D600" s="128"/>
      <c r="E600" s="128"/>
      <c r="F600" s="128"/>
      <c r="G600" s="111"/>
      <c r="H600" s="114"/>
      <c r="I600" s="8"/>
    </row>
    <row r="601" spans="1:9" x14ac:dyDescent="0.25">
      <c r="A601" s="42">
        <v>1</v>
      </c>
      <c r="B601" s="19" t="s">
        <v>58</v>
      </c>
      <c r="C601" s="130" t="s">
        <v>57</v>
      </c>
      <c r="D601" s="130"/>
      <c r="E601" s="128"/>
      <c r="F601" s="117">
        <v>65</v>
      </c>
      <c r="G601" s="117">
        <v>8</v>
      </c>
      <c r="H601" s="108"/>
      <c r="I601" s="23"/>
    </row>
    <row r="602" spans="1:9" x14ac:dyDescent="0.25">
      <c r="A602" s="42">
        <v>2</v>
      </c>
      <c r="B602" s="19" t="s">
        <v>73</v>
      </c>
      <c r="C602" s="130" t="s">
        <v>57</v>
      </c>
      <c r="D602" s="130"/>
      <c r="E602" s="128"/>
      <c r="F602" s="117">
        <v>1</v>
      </c>
      <c r="G602" s="117"/>
      <c r="H602" s="114"/>
      <c r="I602" s="23"/>
    </row>
    <row r="603" spans="1:9" x14ac:dyDescent="0.25">
      <c r="F603" s="84"/>
    </row>
    <row r="604" spans="1:9" x14ac:dyDescent="0.25">
      <c r="A604" s="5" t="s">
        <v>60</v>
      </c>
    </row>
    <row r="605" spans="1:9" x14ac:dyDescent="0.25">
      <c r="A605" s="236" t="s">
        <v>21</v>
      </c>
      <c r="B605" s="236"/>
      <c r="C605" s="236"/>
      <c r="D605" s="236"/>
      <c r="E605" s="236" t="s">
        <v>22</v>
      </c>
      <c r="F605" s="236"/>
      <c r="G605" s="236"/>
      <c r="H605" s="236"/>
      <c r="I605" s="236"/>
    </row>
    <row r="611" spans="1:9" ht="15.75" x14ac:dyDescent="0.25">
      <c r="A611" s="197" t="s">
        <v>1</v>
      </c>
      <c r="B611" s="197"/>
      <c r="C611" s="197"/>
      <c r="D611" s="197"/>
      <c r="E611" s="197"/>
      <c r="F611" s="197"/>
      <c r="G611" s="197"/>
      <c r="H611" s="197"/>
      <c r="I611" s="197"/>
    </row>
    <row r="612" spans="1:9" ht="15.75" x14ac:dyDescent="0.25">
      <c r="A612" s="197" t="s">
        <v>2</v>
      </c>
      <c r="B612" s="197"/>
      <c r="C612" s="197"/>
      <c r="D612" s="197"/>
      <c r="E612" s="197"/>
      <c r="F612" s="197"/>
      <c r="G612" s="197"/>
      <c r="H612" s="197"/>
      <c r="I612" s="197"/>
    </row>
    <row r="613" spans="1:9" ht="15" x14ac:dyDescent="0.25">
      <c r="A613" s="18"/>
      <c r="B613" s="18"/>
      <c r="C613" s="18"/>
      <c r="D613" s="18"/>
      <c r="E613" s="18"/>
      <c r="F613" s="18"/>
      <c r="G613" s="18"/>
      <c r="H613" s="18"/>
      <c r="I613" s="18"/>
    </row>
    <row r="614" spans="1:9" ht="20.25" x14ac:dyDescent="0.25">
      <c r="A614" s="204" t="s">
        <v>132</v>
      </c>
      <c r="B614" s="204"/>
      <c r="C614" s="204"/>
      <c r="D614" s="204"/>
      <c r="E614" s="204"/>
      <c r="F614" s="204"/>
      <c r="G614" s="204"/>
      <c r="H614" s="204"/>
      <c r="I614" s="204"/>
    </row>
    <row r="615" spans="1:9" ht="15.75" x14ac:dyDescent="0.25">
      <c r="A615" s="197" t="s">
        <v>292</v>
      </c>
      <c r="B615" s="197"/>
      <c r="C615" s="197"/>
      <c r="D615" s="197"/>
      <c r="E615" s="197"/>
      <c r="F615" s="197"/>
      <c r="G615" s="197"/>
      <c r="H615" s="197"/>
      <c r="I615" s="197"/>
    </row>
    <row r="616" spans="1:9" ht="15.75" x14ac:dyDescent="0.25">
      <c r="A616" s="123"/>
      <c r="B616" s="123"/>
      <c r="C616" s="123"/>
      <c r="D616" s="123"/>
      <c r="E616" s="123"/>
      <c r="F616" s="123"/>
      <c r="G616" s="123"/>
      <c r="H616" s="123"/>
      <c r="I616" s="123"/>
    </row>
    <row r="617" spans="1:9" ht="34.5" customHeight="1" x14ac:dyDescent="0.25">
      <c r="A617" s="219" t="str">
        <f>'Giá trị'!$A$7:$K$7</f>
        <v>- Căn cứ Hợp đồng kinh tế số 0412/HĐKT2025/TP-VIETPANEL ký ngày 04/12/2025 giữa Công ty TNHH xây dựng Việt Panel và Công ty Cổ phần Tập đoàn Thiết bị xây dựng TP về việc cho thuê thiết bị xây dựng.</v>
      </c>
      <c r="B617" s="219"/>
      <c r="C617" s="219"/>
      <c r="D617" s="219"/>
      <c r="E617" s="219"/>
      <c r="F617" s="219"/>
      <c r="G617" s="219"/>
      <c r="H617" s="219"/>
      <c r="I617" s="219"/>
    </row>
    <row r="618" spans="1:9" x14ac:dyDescent="0.25">
      <c r="A618" s="6" t="s">
        <v>51</v>
      </c>
      <c r="B618" s="5" t="str">
        <f>'Giá trị'!$B$8</f>
        <v>Senci</v>
      </c>
      <c r="C618" s="30"/>
      <c r="D618" s="30"/>
      <c r="E618" s="30"/>
    </row>
    <row r="619" spans="1:9" x14ac:dyDescent="0.25">
      <c r="A619" s="6" t="s">
        <v>59</v>
      </c>
      <c r="B619" s="6" t="str">
        <f>'Giá trị'!$B$9</f>
        <v>KCN Phúc Điền, Hải Dương</v>
      </c>
      <c r="C619" s="30"/>
      <c r="D619" s="30"/>
      <c r="E619" s="30"/>
    </row>
    <row r="620" spans="1:9" x14ac:dyDescent="0.25">
      <c r="A620" s="6" t="s">
        <v>3</v>
      </c>
      <c r="C620" s="30"/>
      <c r="D620" s="30"/>
      <c r="E620" s="30"/>
    </row>
    <row r="621" spans="1:9" x14ac:dyDescent="0.25">
      <c r="A621" s="5" t="s">
        <v>172</v>
      </c>
      <c r="C621" s="30"/>
      <c r="D621" s="30"/>
      <c r="E621" s="30"/>
    </row>
    <row r="622" spans="1:9" x14ac:dyDescent="0.25">
      <c r="A622" s="7" t="str">
        <f>'Giá trị'!$A$12</f>
        <v>BÊN THUÊ (BÊN A): CÔNG TY TNHH XÂY DỰNG VIỆT PANEL</v>
      </c>
      <c r="B622" s="7"/>
      <c r="C622" s="132"/>
      <c r="D622" s="132"/>
      <c r="E622" s="132"/>
      <c r="F622" s="7"/>
      <c r="G622" s="7"/>
      <c r="H622" s="7"/>
      <c r="I622" s="7"/>
    </row>
    <row r="623" spans="1:9" x14ac:dyDescent="0.25">
      <c r="A623" s="5" t="s">
        <v>125</v>
      </c>
      <c r="B623" s="5" t="str">
        <f>'Giá trị'!$B$13</f>
        <v>Thôn Đông Phù, Xã Tiên Du, Tỉnh Bắc Ninh, Việt Nam</v>
      </c>
      <c r="C623" s="30"/>
      <c r="D623" s="30"/>
      <c r="E623" s="30"/>
    </row>
    <row r="624" spans="1:9" x14ac:dyDescent="0.25">
      <c r="A624" s="5" t="s">
        <v>5</v>
      </c>
      <c r="C624" s="198" t="str">
        <f>'Giá trị'!$C$14:$D$14</f>
        <v>0222 6535 699</v>
      </c>
      <c r="D624" s="208"/>
    </row>
    <row r="625" spans="1:9" x14ac:dyDescent="0.25">
      <c r="A625" s="5" t="s">
        <v>4</v>
      </c>
      <c r="C625" s="209">
        <f>'Giá trị'!$C$15:$D$15</f>
        <v>616139999</v>
      </c>
      <c r="D625" s="209"/>
      <c r="E625" s="127" t="str">
        <f>'Giá trị'!$E$15</f>
        <v>Tại MB Ngân hàng quân đội</v>
      </c>
    </row>
    <row r="626" spans="1:9" x14ac:dyDescent="0.25">
      <c r="A626" s="5" t="s">
        <v>6</v>
      </c>
      <c r="B626" s="6"/>
      <c r="C626" s="198" t="str">
        <f>'Giá trị'!$C$16:$D$16</f>
        <v>2300856941</v>
      </c>
      <c r="D626" s="198"/>
      <c r="E626" s="6"/>
      <c r="F626" s="6"/>
    </row>
    <row r="627" spans="1:9" x14ac:dyDescent="0.25">
      <c r="A627" s="5" t="s">
        <v>7</v>
      </c>
      <c r="C627" s="7" t="str">
        <f>'Giá trị'!$C$17</f>
        <v>Ông Lưu Đình Cải</v>
      </c>
      <c r="D627" s="132"/>
      <c r="E627" s="5" t="str">
        <f>'Giá trị'!$E$17</f>
        <v>Chức vụ: Giám đốc</v>
      </c>
    </row>
    <row r="628" spans="1:9" x14ac:dyDescent="0.25">
      <c r="C628" s="30"/>
      <c r="D628" s="30"/>
      <c r="E628" s="30"/>
    </row>
    <row r="629" spans="1:9" x14ac:dyDescent="0.25">
      <c r="A629" s="7" t="s">
        <v>8</v>
      </c>
      <c r="B629" s="7"/>
      <c r="C629" s="132"/>
      <c r="D629" s="132"/>
      <c r="E629" s="132"/>
      <c r="F629" s="7"/>
      <c r="G629" s="7"/>
      <c r="H629" s="7"/>
      <c r="I629" s="7"/>
    </row>
    <row r="630" spans="1:9" x14ac:dyDescent="0.25">
      <c r="A630" s="5" t="s">
        <v>115</v>
      </c>
      <c r="C630" s="30"/>
      <c r="D630" s="30"/>
      <c r="E630" s="30"/>
    </row>
    <row r="631" spans="1:9" x14ac:dyDescent="0.25">
      <c r="A631" s="5" t="s">
        <v>5</v>
      </c>
      <c r="C631" s="6" t="s">
        <v>9</v>
      </c>
      <c r="D631" s="24"/>
      <c r="E631" s="30"/>
    </row>
    <row r="632" spans="1:9" x14ac:dyDescent="0.25">
      <c r="A632" s="5" t="s">
        <v>10</v>
      </c>
      <c r="C632" s="32" t="str">
        <f>'Giá trị'!$C$22</f>
        <v>8331100096008</v>
      </c>
      <c r="D632" s="17"/>
      <c r="E632" s="201" t="str">
        <f>$E$22</f>
        <v>Tại Ngân hàng Thương mại cổ phần Quân đội - Chi nhánh Hoàng Quốc Việt</v>
      </c>
      <c r="F632" s="201"/>
      <c r="G632" s="201"/>
      <c r="H632" s="201"/>
      <c r="I632" s="201"/>
    </row>
    <row r="633" spans="1:9" x14ac:dyDescent="0.25">
      <c r="A633" s="5" t="s">
        <v>6</v>
      </c>
      <c r="C633" s="6" t="s">
        <v>19</v>
      </c>
      <c r="D633" s="24"/>
      <c r="E633" s="127"/>
    </row>
    <row r="634" spans="1:9" x14ac:dyDescent="0.25">
      <c r="A634" s="5" t="s">
        <v>7</v>
      </c>
      <c r="C634" s="7" t="s">
        <v>116</v>
      </c>
      <c r="D634" s="132"/>
      <c r="E634" s="127" t="s">
        <v>117</v>
      </c>
    </row>
    <row r="635" spans="1:9" x14ac:dyDescent="0.25">
      <c r="C635" s="30"/>
      <c r="D635" s="30"/>
      <c r="E635" s="30"/>
    </row>
    <row r="636" spans="1:9" x14ac:dyDescent="0.25">
      <c r="A636" s="5" t="s">
        <v>293</v>
      </c>
      <c r="C636" s="30"/>
      <c r="D636" s="30"/>
      <c r="E636" s="30"/>
    </row>
    <row r="637" spans="1:9" ht="49.5" x14ac:dyDescent="0.25">
      <c r="A637" s="3" t="s">
        <v>12</v>
      </c>
      <c r="B637" s="133" t="s">
        <v>13</v>
      </c>
      <c r="C637" s="133" t="s">
        <v>23</v>
      </c>
      <c r="D637" s="133" t="s">
        <v>61</v>
      </c>
      <c r="E637" s="133" t="s">
        <v>14</v>
      </c>
      <c r="F637" s="133" t="s">
        <v>15</v>
      </c>
      <c r="G637" s="133" t="s">
        <v>16</v>
      </c>
      <c r="H637" s="133" t="s">
        <v>62</v>
      </c>
      <c r="I637" s="3" t="s">
        <v>18</v>
      </c>
    </row>
    <row r="638" spans="1:9" x14ac:dyDescent="0.25">
      <c r="A638" s="3" t="str">
        <f>ROMAN(1,0)</f>
        <v>I</v>
      </c>
      <c r="B638" s="134" t="s">
        <v>55</v>
      </c>
      <c r="C638" s="133"/>
      <c r="D638" s="133"/>
      <c r="E638" s="133"/>
      <c r="F638" s="133"/>
      <c r="G638" s="133"/>
      <c r="H638" s="133"/>
      <c r="I638" s="3"/>
    </row>
    <row r="639" spans="1:9" ht="17.25" x14ac:dyDescent="0.25">
      <c r="A639" s="229">
        <v>1</v>
      </c>
      <c r="B639" s="103" t="s">
        <v>148</v>
      </c>
      <c r="C639" s="130" t="s">
        <v>49</v>
      </c>
      <c r="D639" s="105">
        <v>46168</v>
      </c>
      <c r="E639" s="105">
        <v>46198</v>
      </c>
      <c r="F639" s="106">
        <f>G544</f>
        <v>20588</v>
      </c>
      <c r="G639" s="107">
        <f>+F639</f>
        <v>20588</v>
      </c>
      <c r="H639" s="108">
        <f>E639-D639+1</f>
        <v>31</v>
      </c>
      <c r="I639" s="3"/>
    </row>
    <row r="640" spans="1:9" ht="17.25" x14ac:dyDescent="0.25">
      <c r="A640" s="229"/>
      <c r="B640" s="103" t="s">
        <v>148</v>
      </c>
      <c r="C640" s="130" t="s">
        <v>49</v>
      </c>
      <c r="D640" s="109">
        <v>46167</v>
      </c>
      <c r="E640" s="105">
        <v>46198</v>
      </c>
      <c r="F640" s="110"/>
      <c r="G640" s="107">
        <v>-200</v>
      </c>
      <c r="H640" s="108">
        <f t="shared" ref="H640:H646" si="39">E640-D640+1</f>
        <v>32</v>
      </c>
      <c r="I640" s="3"/>
    </row>
    <row r="641" spans="1:9" ht="17.25" x14ac:dyDescent="0.25">
      <c r="A641" s="229"/>
      <c r="B641" s="103" t="s">
        <v>148</v>
      </c>
      <c r="C641" s="130" t="s">
        <v>49</v>
      </c>
      <c r="D641" s="109">
        <v>46168</v>
      </c>
      <c r="E641" s="105">
        <v>46198</v>
      </c>
      <c r="F641" s="110"/>
      <c r="G641" s="107">
        <v>-400</v>
      </c>
      <c r="H641" s="108">
        <f t="shared" si="39"/>
        <v>31</v>
      </c>
      <c r="I641" s="3"/>
    </row>
    <row r="642" spans="1:9" ht="17.25" x14ac:dyDescent="0.25">
      <c r="A642" s="229"/>
      <c r="B642" s="103" t="s">
        <v>148</v>
      </c>
      <c r="C642" s="130" t="s">
        <v>49</v>
      </c>
      <c r="D642" s="109">
        <v>46170</v>
      </c>
      <c r="E642" s="105">
        <v>46198</v>
      </c>
      <c r="F642" s="110"/>
      <c r="G642" s="107">
        <v>-600</v>
      </c>
      <c r="H642" s="108">
        <f t="shared" si="39"/>
        <v>29</v>
      </c>
      <c r="I642" s="3"/>
    </row>
    <row r="643" spans="1:9" ht="17.25" x14ac:dyDescent="0.25">
      <c r="A643" s="229"/>
      <c r="B643" s="103" t="s">
        <v>148</v>
      </c>
      <c r="C643" s="130" t="s">
        <v>49</v>
      </c>
      <c r="D643" s="109">
        <v>46170</v>
      </c>
      <c r="E643" s="105">
        <v>46198</v>
      </c>
      <c r="F643" s="110"/>
      <c r="G643" s="107">
        <v>-400</v>
      </c>
      <c r="H643" s="108">
        <f t="shared" si="39"/>
        <v>29</v>
      </c>
      <c r="I643" s="3"/>
    </row>
    <row r="644" spans="1:9" ht="17.25" x14ac:dyDescent="0.25">
      <c r="A644" s="229"/>
      <c r="B644" s="103" t="s">
        <v>148</v>
      </c>
      <c r="C644" s="130" t="s">
        <v>49</v>
      </c>
      <c r="D644" s="109">
        <v>46174</v>
      </c>
      <c r="E644" s="105">
        <v>46198</v>
      </c>
      <c r="F644" s="110"/>
      <c r="G644" s="107">
        <v>-1000</v>
      </c>
      <c r="H644" s="108">
        <f t="shared" si="39"/>
        <v>25</v>
      </c>
      <c r="I644" s="3"/>
    </row>
    <row r="645" spans="1:9" ht="17.25" x14ac:dyDescent="0.25">
      <c r="A645" s="229"/>
      <c r="B645" s="103" t="s">
        <v>148</v>
      </c>
      <c r="C645" s="130" t="s">
        <v>49</v>
      </c>
      <c r="D645" s="109">
        <v>46183</v>
      </c>
      <c r="E645" s="105">
        <v>46198</v>
      </c>
      <c r="F645" s="110"/>
      <c r="G645" s="107">
        <v>-200</v>
      </c>
      <c r="H645" s="108">
        <f t="shared" si="39"/>
        <v>16</v>
      </c>
      <c r="I645" s="3"/>
    </row>
    <row r="646" spans="1:9" ht="17.25" x14ac:dyDescent="0.25">
      <c r="A646" s="229"/>
      <c r="B646" s="103" t="s">
        <v>148</v>
      </c>
      <c r="C646" s="130" t="s">
        <v>49</v>
      </c>
      <c r="D646" s="109">
        <v>46190</v>
      </c>
      <c r="E646" s="105">
        <v>46198</v>
      </c>
      <c r="F646" s="110"/>
      <c r="G646" s="107">
        <v>-600</v>
      </c>
      <c r="H646" s="108">
        <f t="shared" si="39"/>
        <v>9</v>
      </c>
      <c r="I646" s="3"/>
    </row>
    <row r="647" spans="1:9" x14ac:dyDescent="0.25">
      <c r="A647" s="229"/>
      <c r="B647" s="215" t="s">
        <v>20</v>
      </c>
      <c r="C647" s="216"/>
      <c r="D647" s="216"/>
      <c r="E647" s="216"/>
      <c r="F647" s="217"/>
      <c r="G647" s="111">
        <f>SUM(G639:G646)</f>
        <v>17188</v>
      </c>
      <c r="H647" s="108"/>
      <c r="I647" s="3"/>
    </row>
    <row r="648" spans="1:9" ht="17.25" x14ac:dyDescent="0.25">
      <c r="A648" s="224">
        <v>2</v>
      </c>
      <c r="B648" s="103" t="s">
        <v>122</v>
      </c>
      <c r="C648" s="130" t="s">
        <v>49</v>
      </c>
      <c r="D648" s="105">
        <v>46168</v>
      </c>
      <c r="E648" s="105">
        <v>46198</v>
      </c>
      <c r="F648" s="106">
        <f>G555</f>
        <v>30601</v>
      </c>
      <c r="G648" s="107">
        <f>+F648</f>
        <v>30601</v>
      </c>
      <c r="H648" s="108">
        <f t="shared" ref="H648:H656" si="40">E648-D648+1</f>
        <v>31</v>
      </c>
      <c r="I648" s="3"/>
    </row>
    <row r="649" spans="1:9" ht="17.25" x14ac:dyDescent="0.25">
      <c r="A649" s="230"/>
      <c r="B649" s="103" t="s">
        <v>122</v>
      </c>
      <c r="C649" s="130" t="s">
        <v>49</v>
      </c>
      <c r="D649" s="109">
        <v>46167</v>
      </c>
      <c r="E649" s="105">
        <v>46198</v>
      </c>
      <c r="F649" s="110"/>
      <c r="G649" s="107">
        <v>-800</v>
      </c>
      <c r="H649" s="108">
        <f t="shared" si="40"/>
        <v>32</v>
      </c>
      <c r="I649" s="3"/>
    </row>
    <row r="650" spans="1:9" ht="17.25" x14ac:dyDescent="0.25">
      <c r="A650" s="230"/>
      <c r="B650" s="103" t="s">
        <v>122</v>
      </c>
      <c r="C650" s="130" t="s">
        <v>49</v>
      </c>
      <c r="D650" s="109">
        <v>46168</v>
      </c>
      <c r="E650" s="105">
        <v>46198</v>
      </c>
      <c r="F650" s="110"/>
      <c r="G650" s="107">
        <v>-1000</v>
      </c>
      <c r="H650" s="108">
        <f t="shared" si="40"/>
        <v>31</v>
      </c>
      <c r="I650" s="3"/>
    </row>
    <row r="651" spans="1:9" ht="17.25" x14ac:dyDescent="0.25">
      <c r="A651" s="230"/>
      <c r="B651" s="103" t="s">
        <v>122</v>
      </c>
      <c r="C651" s="130" t="s">
        <v>49</v>
      </c>
      <c r="D651" s="109">
        <v>46170</v>
      </c>
      <c r="E651" s="105">
        <v>46198</v>
      </c>
      <c r="F651" s="110"/>
      <c r="G651" s="107">
        <v>-500</v>
      </c>
      <c r="H651" s="108">
        <f t="shared" si="40"/>
        <v>29</v>
      </c>
      <c r="I651" s="3"/>
    </row>
    <row r="652" spans="1:9" ht="17.25" x14ac:dyDescent="0.25">
      <c r="A652" s="230"/>
      <c r="B652" s="103" t="s">
        <v>122</v>
      </c>
      <c r="C652" s="130" t="s">
        <v>49</v>
      </c>
      <c r="D652" s="109">
        <v>46170</v>
      </c>
      <c r="E652" s="105">
        <v>46198</v>
      </c>
      <c r="F652" s="110"/>
      <c r="G652" s="107">
        <v>-300</v>
      </c>
      <c r="H652" s="108">
        <f t="shared" si="40"/>
        <v>29</v>
      </c>
      <c r="I652" s="3"/>
    </row>
    <row r="653" spans="1:9" ht="17.25" x14ac:dyDescent="0.25">
      <c r="A653" s="230"/>
      <c r="B653" s="103" t="s">
        <v>122</v>
      </c>
      <c r="C653" s="130" t="s">
        <v>49</v>
      </c>
      <c r="D653" s="109">
        <v>46174</v>
      </c>
      <c r="E653" s="105">
        <v>46198</v>
      </c>
      <c r="F653" s="110"/>
      <c r="G653" s="107">
        <v>-500</v>
      </c>
      <c r="H653" s="108">
        <f t="shared" si="40"/>
        <v>25</v>
      </c>
      <c r="I653" s="3"/>
    </row>
    <row r="654" spans="1:9" ht="17.25" x14ac:dyDescent="0.25">
      <c r="A654" s="230"/>
      <c r="B654" s="103" t="s">
        <v>122</v>
      </c>
      <c r="C654" s="130" t="s">
        <v>49</v>
      </c>
      <c r="D654" s="109">
        <v>46175</v>
      </c>
      <c r="E654" s="105">
        <v>46198</v>
      </c>
      <c r="F654" s="110"/>
      <c r="G654" s="107">
        <v>-100</v>
      </c>
      <c r="H654" s="108">
        <f t="shared" si="40"/>
        <v>24</v>
      </c>
      <c r="I654" s="3"/>
    </row>
    <row r="655" spans="1:9" ht="17.25" x14ac:dyDescent="0.25">
      <c r="A655" s="230"/>
      <c r="B655" s="103" t="s">
        <v>122</v>
      </c>
      <c r="C655" s="130" t="s">
        <v>49</v>
      </c>
      <c r="D655" s="109">
        <v>46190</v>
      </c>
      <c r="E655" s="105">
        <v>46198</v>
      </c>
      <c r="F655" s="110"/>
      <c r="G655" s="107">
        <v>-200</v>
      </c>
      <c r="H655" s="108">
        <f t="shared" si="40"/>
        <v>9</v>
      </c>
      <c r="I655" s="3"/>
    </row>
    <row r="656" spans="1:9" ht="17.25" x14ac:dyDescent="0.25">
      <c r="A656" s="230"/>
      <c r="B656" s="103" t="s">
        <v>122</v>
      </c>
      <c r="C656" s="130" t="s">
        <v>49</v>
      </c>
      <c r="D656" s="109">
        <v>46194</v>
      </c>
      <c r="E656" s="105">
        <v>46198</v>
      </c>
      <c r="F656" s="110"/>
      <c r="G656" s="107">
        <v>-500</v>
      </c>
      <c r="H656" s="108">
        <f t="shared" si="40"/>
        <v>5</v>
      </c>
      <c r="I656" s="3"/>
    </row>
    <row r="657" spans="1:9" x14ac:dyDescent="0.25">
      <c r="A657" s="225"/>
      <c r="B657" s="215" t="s">
        <v>20</v>
      </c>
      <c r="C657" s="216"/>
      <c r="D657" s="216"/>
      <c r="E657" s="216"/>
      <c r="F657" s="217"/>
      <c r="G657" s="111">
        <f>SUM(G648:G656)</f>
        <v>26701</v>
      </c>
      <c r="H657" s="108"/>
      <c r="I657" s="3"/>
    </row>
    <row r="658" spans="1:9" ht="17.25" x14ac:dyDescent="0.25">
      <c r="A658" s="224">
        <v>3</v>
      </c>
      <c r="B658" s="103" t="s">
        <v>118</v>
      </c>
      <c r="C658" s="130" t="s">
        <v>49</v>
      </c>
      <c r="D658" s="105">
        <v>46168</v>
      </c>
      <c r="E658" s="105">
        <v>46198</v>
      </c>
      <c r="F658" s="106">
        <f>G563</f>
        <v>13200</v>
      </c>
      <c r="G658" s="107">
        <f>+F658</f>
        <v>13200</v>
      </c>
      <c r="H658" s="108">
        <f t="shared" ref="H658:H664" si="41">E658-D658+1</f>
        <v>31</v>
      </c>
      <c r="I658" s="3"/>
    </row>
    <row r="659" spans="1:9" ht="17.25" x14ac:dyDescent="0.25">
      <c r="A659" s="230"/>
      <c r="B659" s="103" t="s">
        <v>118</v>
      </c>
      <c r="C659" s="130" t="s">
        <v>49</v>
      </c>
      <c r="D659" s="109">
        <v>46167</v>
      </c>
      <c r="E659" s="105">
        <v>46198</v>
      </c>
      <c r="F659" s="110"/>
      <c r="G659" s="107">
        <v>-200</v>
      </c>
      <c r="H659" s="108">
        <f t="shared" si="41"/>
        <v>32</v>
      </c>
      <c r="I659" s="3"/>
    </row>
    <row r="660" spans="1:9" ht="17.25" x14ac:dyDescent="0.25">
      <c r="A660" s="230"/>
      <c r="B660" s="103" t="s">
        <v>118</v>
      </c>
      <c r="C660" s="130" t="s">
        <v>49</v>
      </c>
      <c r="D660" s="109">
        <v>46168</v>
      </c>
      <c r="E660" s="105">
        <v>46198</v>
      </c>
      <c r="F660" s="110"/>
      <c r="G660" s="107">
        <v>-600</v>
      </c>
      <c r="H660" s="108">
        <f t="shared" si="41"/>
        <v>31</v>
      </c>
      <c r="I660" s="3"/>
    </row>
    <row r="661" spans="1:9" ht="17.25" x14ac:dyDescent="0.25">
      <c r="A661" s="230"/>
      <c r="B661" s="103" t="s">
        <v>118</v>
      </c>
      <c r="C661" s="130" t="s">
        <v>49</v>
      </c>
      <c r="D661" s="109">
        <v>46170</v>
      </c>
      <c r="E661" s="105">
        <v>46198</v>
      </c>
      <c r="F661" s="110"/>
      <c r="G661" s="107">
        <v>-500</v>
      </c>
      <c r="H661" s="108">
        <f t="shared" si="41"/>
        <v>29</v>
      </c>
      <c r="I661" s="3"/>
    </row>
    <row r="662" spans="1:9" ht="17.25" x14ac:dyDescent="0.25">
      <c r="A662" s="230"/>
      <c r="B662" s="103" t="s">
        <v>118</v>
      </c>
      <c r="C662" s="130" t="s">
        <v>49</v>
      </c>
      <c r="D662" s="109">
        <v>46170</v>
      </c>
      <c r="E662" s="105">
        <v>46198</v>
      </c>
      <c r="F662" s="110"/>
      <c r="G662" s="107">
        <v>-200</v>
      </c>
      <c r="H662" s="108">
        <f t="shared" si="41"/>
        <v>29</v>
      </c>
      <c r="I662" s="3"/>
    </row>
    <row r="663" spans="1:9" ht="17.25" x14ac:dyDescent="0.25">
      <c r="A663" s="230"/>
      <c r="B663" s="103" t="s">
        <v>118</v>
      </c>
      <c r="C663" s="130" t="s">
        <v>49</v>
      </c>
      <c r="D663" s="109">
        <v>46174</v>
      </c>
      <c r="E663" s="105">
        <v>46198</v>
      </c>
      <c r="F663" s="110"/>
      <c r="G663" s="107">
        <v>-300</v>
      </c>
      <c r="H663" s="108">
        <f t="shared" si="41"/>
        <v>25</v>
      </c>
      <c r="I663" s="3"/>
    </row>
    <row r="664" spans="1:9" ht="17.25" x14ac:dyDescent="0.25">
      <c r="A664" s="230"/>
      <c r="B664" s="103" t="s">
        <v>118</v>
      </c>
      <c r="C664" s="130" t="s">
        <v>49</v>
      </c>
      <c r="D664" s="109">
        <v>46194</v>
      </c>
      <c r="E664" s="105">
        <v>46198</v>
      </c>
      <c r="F664" s="110"/>
      <c r="G664" s="107">
        <v>-1700</v>
      </c>
      <c r="H664" s="108">
        <f t="shared" si="41"/>
        <v>5</v>
      </c>
      <c r="I664" s="3"/>
    </row>
    <row r="665" spans="1:9" x14ac:dyDescent="0.25">
      <c r="A665" s="225"/>
      <c r="B665" s="215" t="s">
        <v>20</v>
      </c>
      <c r="C665" s="216"/>
      <c r="D665" s="216"/>
      <c r="E665" s="216"/>
      <c r="F665" s="217"/>
      <c r="G665" s="111">
        <f>SUM(G658:G664)</f>
        <v>9700</v>
      </c>
      <c r="H665" s="108"/>
      <c r="I665" s="3"/>
    </row>
    <row r="666" spans="1:9" ht="17.25" x14ac:dyDescent="0.25">
      <c r="A666" s="224">
        <v>4</v>
      </c>
      <c r="B666" s="103" t="s">
        <v>50</v>
      </c>
      <c r="C666" s="130" t="s">
        <v>49</v>
      </c>
      <c r="D666" s="105">
        <v>46168</v>
      </c>
      <c r="E666" s="105">
        <v>46198</v>
      </c>
      <c r="F666" s="106">
        <f>G577</f>
        <v>42747</v>
      </c>
      <c r="G666" s="107">
        <f>+F666</f>
        <v>42747</v>
      </c>
      <c r="H666" s="108">
        <f t="shared" ref="H666:H676" si="42">E666-D666+1</f>
        <v>31</v>
      </c>
      <c r="I666" s="3"/>
    </row>
    <row r="667" spans="1:9" ht="17.25" x14ac:dyDescent="0.25">
      <c r="A667" s="230"/>
      <c r="B667" s="103" t="s">
        <v>50</v>
      </c>
      <c r="C667" s="130" t="s">
        <v>49</v>
      </c>
      <c r="D667" s="105">
        <v>46167</v>
      </c>
      <c r="E667" s="105">
        <v>46198</v>
      </c>
      <c r="F667" s="106"/>
      <c r="G667" s="107">
        <v>-400</v>
      </c>
      <c r="H667" s="108">
        <f t="shared" si="42"/>
        <v>32</v>
      </c>
      <c r="I667" s="3"/>
    </row>
    <row r="668" spans="1:9" ht="17.25" x14ac:dyDescent="0.25">
      <c r="A668" s="230"/>
      <c r="B668" s="103" t="s">
        <v>50</v>
      </c>
      <c r="C668" s="130" t="s">
        <v>49</v>
      </c>
      <c r="D668" s="105">
        <v>46168</v>
      </c>
      <c r="E668" s="105">
        <v>46198</v>
      </c>
      <c r="F668" s="106"/>
      <c r="G668" s="107">
        <v>-400</v>
      </c>
      <c r="H668" s="108">
        <f t="shared" si="42"/>
        <v>31</v>
      </c>
      <c r="I668" s="3"/>
    </row>
    <row r="669" spans="1:9" ht="17.25" x14ac:dyDescent="0.25">
      <c r="A669" s="230"/>
      <c r="B669" s="103" t="s">
        <v>50</v>
      </c>
      <c r="C669" s="130" t="s">
        <v>49</v>
      </c>
      <c r="D669" s="105">
        <v>46170</v>
      </c>
      <c r="E669" s="105">
        <v>46198</v>
      </c>
      <c r="F669" s="106"/>
      <c r="G669" s="107">
        <v>-700</v>
      </c>
      <c r="H669" s="108">
        <f t="shared" si="42"/>
        <v>29</v>
      </c>
      <c r="I669" s="3"/>
    </row>
    <row r="670" spans="1:9" ht="17.25" x14ac:dyDescent="0.25">
      <c r="A670" s="230"/>
      <c r="B670" s="103" t="s">
        <v>50</v>
      </c>
      <c r="C670" s="130" t="s">
        <v>49</v>
      </c>
      <c r="D670" s="105">
        <v>46170</v>
      </c>
      <c r="E670" s="105">
        <v>46198</v>
      </c>
      <c r="F670" s="106"/>
      <c r="G670" s="107">
        <v>-500</v>
      </c>
      <c r="H670" s="108">
        <f t="shared" si="42"/>
        <v>29</v>
      </c>
      <c r="I670" s="3"/>
    </row>
    <row r="671" spans="1:9" ht="17.25" x14ac:dyDescent="0.25">
      <c r="A671" s="230"/>
      <c r="B671" s="103" t="s">
        <v>50</v>
      </c>
      <c r="C671" s="130" t="s">
        <v>49</v>
      </c>
      <c r="D671" s="105">
        <v>46174</v>
      </c>
      <c r="E671" s="105">
        <v>46198</v>
      </c>
      <c r="F671" s="106"/>
      <c r="G671" s="107">
        <v>-300</v>
      </c>
      <c r="H671" s="108">
        <f t="shared" si="42"/>
        <v>25</v>
      </c>
      <c r="I671" s="3"/>
    </row>
    <row r="672" spans="1:9" ht="17.25" x14ac:dyDescent="0.25">
      <c r="A672" s="230"/>
      <c r="B672" s="103" t="s">
        <v>50</v>
      </c>
      <c r="C672" s="130" t="s">
        <v>49</v>
      </c>
      <c r="D672" s="105">
        <v>46175</v>
      </c>
      <c r="E672" s="105">
        <v>46198</v>
      </c>
      <c r="F672" s="106"/>
      <c r="G672" s="107">
        <v>-1300</v>
      </c>
      <c r="H672" s="108">
        <f t="shared" si="42"/>
        <v>24</v>
      </c>
      <c r="I672" s="3"/>
    </row>
    <row r="673" spans="1:9" ht="17.25" x14ac:dyDescent="0.25">
      <c r="A673" s="230"/>
      <c r="B673" s="103" t="s">
        <v>50</v>
      </c>
      <c r="C673" s="130" t="s">
        <v>49</v>
      </c>
      <c r="D673" s="105">
        <v>46182</v>
      </c>
      <c r="E673" s="105">
        <v>46198</v>
      </c>
      <c r="F673" s="106"/>
      <c r="G673" s="107">
        <v>-1493</v>
      </c>
      <c r="H673" s="108">
        <f t="shared" si="42"/>
        <v>17</v>
      </c>
      <c r="I673" s="3"/>
    </row>
    <row r="674" spans="1:9" ht="17.25" x14ac:dyDescent="0.25">
      <c r="A674" s="230"/>
      <c r="B674" s="103" t="s">
        <v>50</v>
      </c>
      <c r="C674" s="130" t="s">
        <v>49</v>
      </c>
      <c r="D674" s="105">
        <v>46183</v>
      </c>
      <c r="E674" s="105">
        <v>46198</v>
      </c>
      <c r="F674" s="106"/>
      <c r="G674" s="107">
        <v>-1900</v>
      </c>
      <c r="H674" s="108">
        <f t="shared" si="42"/>
        <v>16</v>
      </c>
      <c r="I674" s="3"/>
    </row>
    <row r="675" spans="1:9" ht="17.25" x14ac:dyDescent="0.25">
      <c r="A675" s="230"/>
      <c r="B675" s="103" t="s">
        <v>50</v>
      </c>
      <c r="C675" s="130" t="s">
        <v>49</v>
      </c>
      <c r="D675" s="105">
        <v>46190</v>
      </c>
      <c r="E675" s="105">
        <v>46198</v>
      </c>
      <c r="F675" s="106"/>
      <c r="G675" s="107">
        <v>-700</v>
      </c>
      <c r="H675" s="108">
        <f t="shared" si="42"/>
        <v>9</v>
      </c>
      <c r="I675" s="3"/>
    </row>
    <row r="676" spans="1:9" ht="17.25" x14ac:dyDescent="0.25">
      <c r="A676" s="230"/>
      <c r="B676" s="103" t="s">
        <v>50</v>
      </c>
      <c r="C676" s="130" t="s">
        <v>49</v>
      </c>
      <c r="D676" s="105">
        <v>46198</v>
      </c>
      <c r="E676" s="105">
        <v>46198</v>
      </c>
      <c r="F676" s="106"/>
      <c r="G676" s="107">
        <v>-2400</v>
      </c>
      <c r="H676" s="108">
        <f t="shared" si="42"/>
        <v>1</v>
      </c>
      <c r="I676" s="3"/>
    </row>
    <row r="677" spans="1:9" x14ac:dyDescent="0.25">
      <c r="A677" s="225"/>
      <c r="B677" s="210" t="s">
        <v>20</v>
      </c>
      <c r="C677" s="210"/>
      <c r="D677" s="210"/>
      <c r="E677" s="210"/>
      <c r="F677" s="210"/>
      <c r="G677" s="111">
        <f>SUM(G666:G676)</f>
        <v>32654</v>
      </c>
      <c r="H677" s="108"/>
      <c r="I677" s="3"/>
    </row>
    <row r="678" spans="1:9" ht="17.25" x14ac:dyDescent="0.25">
      <c r="A678" s="224">
        <v>5</v>
      </c>
      <c r="B678" s="103" t="s">
        <v>126</v>
      </c>
      <c r="C678" s="130" t="s">
        <v>24</v>
      </c>
      <c r="D678" s="105">
        <v>46168</v>
      </c>
      <c r="E678" s="105">
        <v>46198</v>
      </c>
      <c r="F678" s="106">
        <v>35500</v>
      </c>
      <c r="G678" s="107">
        <f>+F678</f>
        <v>35500</v>
      </c>
      <c r="H678" s="108">
        <f t="shared" ref="H678:H681" si="43">E678-D678+1</f>
        <v>31</v>
      </c>
      <c r="I678" s="3"/>
    </row>
    <row r="679" spans="1:9" ht="17.25" x14ac:dyDescent="0.25">
      <c r="A679" s="230"/>
      <c r="B679" s="103" t="s">
        <v>126</v>
      </c>
      <c r="C679" s="130" t="s">
        <v>24</v>
      </c>
      <c r="D679" s="105">
        <v>46174</v>
      </c>
      <c r="E679" s="105">
        <v>46198</v>
      </c>
      <c r="F679" s="106"/>
      <c r="G679" s="107">
        <v>-1260</v>
      </c>
      <c r="H679" s="108">
        <f t="shared" si="43"/>
        <v>25</v>
      </c>
      <c r="I679" s="3"/>
    </row>
    <row r="680" spans="1:9" ht="17.25" x14ac:dyDescent="0.25">
      <c r="A680" s="230"/>
      <c r="B680" s="103" t="s">
        <v>126</v>
      </c>
      <c r="C680" s="130" t="s">
        <v>24</v>
      </c>
      <c r="D680" s="105">
        <v>46175</v>
      </c>
      <c r="E680" s="105">
        <v>46198</v>
      </c>
      <c r="F680" s="106"/>
      <c r="G680" s="107">
        <v>-840</v>
      </c>
      <c r="H680" s="108">
        <f t="shared" si="43"/>
        <v>24</v>
      </c>
      <c r="I680" s="3"/>
    </row>
    <row r="681" spans="1:9" ht="17.25" x14ac:dyDescent="0.25">
      <c r="A681" s="230"/>
      <c r="B681" s="103" t="s">
        <v>126</v>
      </c>
      <c r="C681" s="130" t="s">
        <v>24</v>
      </c>
      <c r="D681" s="105">
        <v>46190</v>
      </c>
      <c r="E681" s="105">
        <v>46198</v>
      </c>
      <c r="F681" s="106"/>
      <c r="G681" s="107">
        <v>-1050</v>
      </c>
      <c r="H681" s="108">
        <f t="shared" si="43"/>
        <v>9</v>
      </c>
      <c r="I681" s="3"/>
    </row>
    <row r="682" spans="1:9" x14ac:dyDescent="0.25">
      <c r="A682" s="225"/>
      <c r="B682" s="215" t="s">
        <v>20</v>
      </c>
      <c r="C682" s="216"/>
      <c r="D682" s="216"/>
      <c r="E682" s="216"/>
      <c r="F682" s="217"/>
      <c r="G682" s="111">
        <f>SUM(G678:G681)</f>
        <v>32350</v>
      </c>
      <c r="H682" s="108"/>
      <c r="I682" s="3"/>
    </row>
    <row r="683" spans="1:9" ht="17.25" x14ac:dyDescent="0.25">
      <c r="A683" s="224">
        <v>6</v>
      </c>
      <c r="B683" s="103" t="s">
        <v>149</v>
      </c>
      <c r="C683" s="130" t="s">
        <v>24</v>
      </c>
      <c r="D683" s="105">
        <v>46168</v>
      </c>
      <c r="E683" s="105">
        <v>46198</v>
      </c>
      <c r="F683" s="106">
        <f>G582</f>
        <v>23834</v>
      </c>
      <c r="G683" s="107">
        <f>+F683</f>
        <v>23834</v>
      </c>
      <c r="H683" s="108">
        <f t="shared" ref="H683:H684" si="44">E683-D683+1</f>
        <v>31</v>
      </c>
      <c r="I683" s="3"/>
    </row>
    <row r="684" spans="1:9" ht="17.25" x14ac:dyDescent="0.25">
      <c r="A684" s="230"/>
      <c r="B684" s="103" t="s">
        <v>149</v>
      </c>
      <c r="C684" s="130" t="s">
        <v>24</v>
      </c>
      <c r="D684" s="109">
        <v>46174</v>
      </c>
      <c r="E684" s="105">
        <v>46198</v>
      </c>
      <c r="F684" s="110"/>
      <c r="G684" s="107">
        <v>-2142</v>
      </c>
      <c r="H684" s="108">
        <f t="shared" si="44"/>
        <v>25</v>
      </c>
      <c r="I684" s="3"/>
    </row>
    <row r="685" spans="1:9" x14ac:dyDescent="0.25">
      <c r="A685" s="225"/>
      <c r="B685" s="215" t="s">
        <v>20</v>
      </c>
      <c r="C685" s="216"/>
      <c r="D685" s="216"/>
      <c r="E685" s="216"/>
      <c r="F685" s="217"/>
      <c r="G685" s="111">
        <f>SUM(G683:G684)</f>
        <v>21692</v>
      </c>
      <c r="H685" s="108"/>
      <c r="I685" s="3"/>
    </row>
    <row r="686" spans="1:9" ht="17.25" x14ac:dyDescent="0.25">
      <c r="A686" s="224">
        <v>7</v>
      </c>
      <c r="B686" s="103" t="s">
        <v>0</v>
      </c>
      <c r="C686" s="130" t="s">
        <v>24</v>
      </c>
      <c r="D686" s="105">
        <v>46168</v>
      </c>
      <c r="E686" s="105">
        <v>46198</v>
      </c>
      <c r="F686" s="106">
        <f>G593</f>
        <v>211899</v>
      </c>
      <c r="G686" s="107">
        <f>+F686</f>
        <v>211899</v>
      </c>
      <c r="H686" s="108">
        <f t="shared" ref="H686:H697" si="45">E686-D686+1</f>
        <v>31</v>
      </c>
      <c r="I686" s="3"/>
    </row>
    <row r="687" spans="1:9" ht="17.25" x14ac:dyDescent="0.25">
      <c r="A687" s="230"/>
      <c r="B687" s="103" t="s">
        <v>0</v>
      </c>
      <c r="C687" s="130" t="s">
        <v>24</v>
      </c>
      <c r="D687" s="109">
        <v>46167</v>
      </c>
      <c r="E687" s="105">
        <v>46198</v>
      </c>
      <c r="F687" s="110"/>
      <c r="G687" s="107">
        <v>-6468</v>
      </c>
      <c r="H687" s="108">
        <f t="shared" si="45"/>
        <v>32</v>
      </c>
      <c r="I687" s="3"/>
    </row>
    <row r="688" spans="1:9" ht="17.25" x14ac:dyDescent="0.25">
      <c r="A688" s="230"/>
      <c r="B688" s="103" t="s">
        <v>0</v>
      </c>
      <c r="C688" s="130" t="s">
        <v>24</v>
      </c>
      <c r="D688" s="109">
        <v>46168</v>
      </c>
      <c r="E688" s="105">
        <v>46198</v>
      </c>
      <c r="F688" s="110"/>
      <c r="G688" s="107">
        <v>-2772</v>
      </c>
      <c r="H688" s="108">
        <f t="shared" si="45"/>
        <v>31</v>
      </c>
      <c r="I688" s="3"/>
    </row>
    <row r="689" spans="1:10" ht="17.25" x14ac:dyDescent="0.25">
      <c r="A689" s="230"/>
      <c r="B689" s="103" t="s">
        <v>0</v>
      </c>
      <c r="C689" s="130" t="s">
        <v>24</v>
      </c>
      <c r="D689" s="109">
        <v>46170</v>
      </c>
      <c r="E689" s="105">
        <v>46198</v>
      </c>
      <c r="F689" s="110"/>
      <c r="G689" s="107">
        <v>-2772</v>
      </c>
      <c r="H689" s="108">
        <f t="shared" si="45"/>
        <v>29</v>
      </c>
      <c r="I689" s="3"/>
    </row>
    <row r="690" spans="1:10" ht="17.25" x14ac:dyDescent="0.25">
      <c r="A690" s="230"/>
      <c r="B690" s="103" t="s">
        <v>0</v>
      </c>
      <c r="C690" s="130" t="s">
        <v>24</v>
      </c>
      <c r="D690" s="109">
        <v>46170</v>
      </c>
      <c r="E690" s="105">
        <v>46198</v>
      </c>
      <c r="F690" s="110"/>
      <c r="G690" s="107">
        <v>-5544</v>
      </c>
      <c r="H690" s="108">
        <f t="shared" si="45"/>
        <v>29</v>
      </c>
      <c r="I690" s="3"/>
    </row>
    <row r="691" spans="1:10" ht="17.25" x14ac:dyDescent="0.25">
      <c r="A691" s="230"/>
      <c r="B691" s="103" t="s">
        <v>0</v>
      </c>
      <c r="C691" s="130" t="s">
        <v>24</v>
      </c>
      <c r="D691" s="109">
        <v>46174</v>
      </c>
      <c r="E691" s="105">
        <v>46198</v>
      </c>
      <c r="F691" s="110"/>
      <c r="G691" s="107">
        <v>-2772</v>
      </c>
      <c r="H691" s="108">
        <f t="shared" si="45"/>
        <v>25</v>
      </c>
      <c r="I691" s="3"/>
    </row>
    <row r="692" spans="1:10" ht="17.25" x14ac:dyDescent="0.25">
      <c r="A692" s="230"/>
      <c r="B692" s="103" t="s">
        <v>0</v>
      </c>
      <c r="C692" s="130" t="s">
        <v>24</v>
      </c>
      <c r="D692" s="109">
        <v>46175</v>
      </c>
      <c r="E692" s="105">
        <v>46198</v>
      </c>
      <c r="F692" s="110"/>
      <c r="G692" s="107">
        <v>-4620</v>
      </c>
      <c r="H692" s="108">
        <f t="shared" si="45"/>
        <v>24</v>
      </c>
      <c r="I692" s="3"/>
    </row>
    <row r="693" spans="1:10" ht="17.25" x14ac:dyDescent="0.25">
      <c r="A693" s="230"/>
      <c r="B693" s="103" t="s">
        <v>0</v>
      </c>
      <c r="C693" s="130" t="s">
        <v>24</v>
      </c>
      <c r="D693" s="109">
        <v>46182</v>
      </c>
      <c r="E693" s="105">
        <v>46198</v>
      </c>
      <c r="F693" s="110"/>
      <c r="G693" s="107">
        <v>-5544</v>
      </c>
      <c r="H693" s="108">
        <f t="shared" si="45"/>
        <v>17</v>
      </c>
      <c r="I693" s="3"/>
    </row>
    <row r="694" spans="1:10" ht="17.25" x14ac:dyDescent="0.25">
      <c r="A694" s="230"/>
      <c r="B694" s="103" t="s">
        <v>0</v>
      </c>
      <c r="C694" s="130" t="s">
        <v>24</v>
      </c>
      <c r="D694" s="109">
        <v>46183</v>
      </c>
      <c r="E694" s="105">
        <v>46198</v>
      </c>
      <c r="F694" s="110"/>
      <c r="G694" s="107">
        <v>-3696</v>
      </c>
      <c r="H694" s="108">
        <f t="shared" si="45"/>
        <v>16</v>
      </c>
      <c r="I694" s="3"/>
    </row>
    <row r="695" spans="1:10" ht="17.25" x14ac:dyDescent="0.25">
      <c r="A695" s="230"/>
      <c r="B695" s="103" t="s">
        <v>0</v>
      </c>
      <c r="C695" s="130" t="s">
        <v>24</v>
      </c>
      <c r="D695" s="109">
        <v>46190</v>
      </c>
      <c r="E695" s="105">
        <v>46198</v>
      </c>
      <c r="F695" s="110"/>
      <c r="G695" s="107">
        <v>-6006</v>
      </c>
      <c r="H695" s="108">
        <f t="shared" si="45"/>
        <v>9</v>
      </c>
      <c r="I695" s="3"/>
    </row>
    <row r="696" spans="1:10" ht="17.25" x14ac:dyDescent="0.25">
      <c r="A696" s="230"/>
      <c r="B696" s="103" t="s">
        <v>0</v>
      </c>
      <c r="C696" s="130" t="s">
        <v>24</v>
      </c>
      <c r="D696" s="109">
        <v>46194</v>
      </c>
      <c r="E696" s="105">
        <v>46198</v>
      </c>
      <c r="F696" s="110"/>
      <c r="G696" s="107">
        <v>-3696</v>
      </c>
      <c r="H696" s="108">
        <f t="shared" si="45"/>
        <v>5</v>
      </c>
      <c r="I696" s="3"/>
    </row>
    <row r="697" spans="1:10" ht="17.25" x14ac:dyDescent="0.25">
      <c r="A697" s="230"/>
      <c r="B697" s="103" t="s">
        <v>0</v>
      </c>
      <c r="C697" s="130" t="s">
        <v>24</v>
      </c>
      <c r="D697" s="109">
        <v>46198</v>
      </c>
      <c r="E697" s="105">
        <v>46198</v>
      </c>
      <c r="F697" s="110"/>
      <c r="G697" s="107">
        <v>-3696</v>
      </c>
      <c r="H697" s="108">
        <f t="shared" si="45"/>
        <v>1</v>
      </c>
      <c r="I697" s="3"/>
    </row>
    <row r="698" spans="1:10" x14ac:dyDescent="0.25">
      <c r="A698" s="225"/>
      <c r="B698" s="215" t="s">
        <v>20</v>
      </c>
      <c r="C698" s="216"/>
      <c r="D698" s="216"/>
      <c r="E698" s="216"/>
      <c r="F698" s="217"/>
      <c r="G698" s="111">
        <f>SUM(G686:G697)</f>
        <v>164313</v>
      </c>
      <c r="H698" s="108"/>
      <c r="I698" s="3"/>
    </row>
    <row r="699" spans="1:10" x14ac:dyDescent="0.25">
      <c r="A699" s="224">
        <v>8</v>
      </c>
      <c r="B699" s="103" t="s">
        <v>150</v>
      </c>
      <c r="C699" s="130" t="s">
        <v>24</v>
      </c>
      <c r="D699" s="105">
        <v>46168</v>
      </c>
      <c r="E699" s="105">
        <v>46198</v>
      </c>
      <c r="F699" s="111">
        <v>33150</v>
      </c>
      <c r="G699" s="112">
        <f>+F699</f>
        <v>33150</v>
      </c>
      <c r="H699" s="108">
        <f t="shared" ref="H699:H701" si="46">E699-D699+1</f>
        <v>31</v>
      </c>
      <c r="I699" s="3"/>
    </row>
    <row r="700" spans="1:10" x14ac:dyDescent="0.25">
      <c r="A700" s="230"/>
      <c r="B700" s="103" t="s">
        <v>150</v>
      </c>
      <c r="C700" s="130" t="s">
        <v>24</v>
      </c>
      <c r="D700" s="109">
        <v>46191</v>
      </c>
      <c r="E700" s="105">
        <v>46198</v>
      </c>
      <c r="F700" s="135"/>
      <c r="G700" s="112">
        <v>-380</v>
      </c>
      <c r="H700" s="108">
        <f t="shared" si="46"/>
        <v>8</v>
      </c>
      <c r="I700" s="3"/>
    </row>
    <row r="701" spans="1:10" x14ac:dyDescent="0.25">
      <c r="A701" s="230"/>
      <c r="B701" s="103" t="s">
        <v>150</v>
      </c>
      <c r="C701" s="130" t="s">
        <v>24</v>
      </c>
      <c r="D701" s="109">
        <v>46197</v>
      </c>
      <c r="E701" s="105">
        <v>46198</v>
      </c>
      <c r="F701" s="135"/>
      <c r="G701" s="112">
        <v>-1240</v>
      </c>
      <c r="H701" s="108">
        <f t="shared" si="46"/>
        <v>2</v>
      </c>
      <c r="I701" s="3"/>
    </row>
    <row r="702" spans="1:10" x14ac:dyDescent="0.25">
      <c r="A702" s="225"/>
      <c r="B702" s="215" t="s">
        <v>20</v>
      </c>
      <c r="C702" s="216"/>
      <c r="D702" s="216"/>
      <c r="E702" s="216"/>
      <c r="F702" s="217"/>
      <c r="G702" s="111">
        <f>SUM(G699:G701)</f>
        <v>31530</v>
      </c>
      <c r="H702" s="108"/>
      <c r="I702" s="3"/>
      <c r="J702" s="72">
        <f>G647+G657+G665+G677+G682+G685+G698+G702+G707+G709</f>
        <v>366227</v>
      </c>
    </row>
    <row r="703" spans="1:10" ht="17.25" x14ac:dyDescent="0.25">
      <c r="A703" s="224">
        <v>9</v>
      </c>
      <c r="B703" s="103" t="s">
        <v>151</v>
      </c>
      <c r="C703" s="130" t="s">
        <v>24</v>
      </c>
      <c r="D703" s="105">
        <v>46168</v>
      </c>
      <c r="E703" s="105">
        <v>46198</v>
      </c>
      <c r="F703" s="106">
        <v>31850</v>
      </c>
      <c r="G703" s="107">
        <f>+F703</f>
        <v>31850</v>
      </c>
      <c r="H703" s="108">
        <f t="shared" ref="H703:H705" si="47">E703-D703+1</f>
        <v>31</v>
      </c>
      <c r="I703" s="3"/>
      <c r="J703" s="1">
        <f>22+32</f>
        <v>54</v>
      </c>
    </row>
    <row r="704" spans="1:10" ht="17.25" x14ac:dyDescent="0.25">
      <c r="A704" s="230"/>
      <c r="B704" s="103" t="s">
        <v>151</v>
      </c>
      <c r="C704" s="130" t="s">
        <v>24</v>
      </c>
      <c r="D704" s="105">
        <v>46182</v>
      </c>
      <c r="E704" s="105">
        <v>46198</v>
      </c>
      <c r="F704" s="106"/>
      <c r="G704" s="107">
        <v>-750</v>
      </c>
      <c r="H704" s="108">
        <f t="shared" si="47"/>
        <v>17</v>
      </c>
      <c r="I704" s="3"/>
      <c r="J704" s="72">
        <f>J702+J703</f>
        <v>366281</v>
      </c>
    </row>
    <row r="705" spans="1:9" ht="17.25" x14ac:dyDescent="0.25">
      <c r="A705" s="230"/>
      <c r="B705" s="103" t="s">
        <v>151</v>
      </c>
      <c r="C705" s="130" t="s">
        <v>24</v>
      </c>
      <c r="D705" s="105">
        <v>46191</v>
      </c>
      <c r="E705" s="105">
        <v>46198</v>
      </c>
      <c r="F705" s="106"/>
      <c r="G705" s="107">
        <v>-1581</v>
      </c>
      <c r="H705" s="108">
        <f t="shared" si="47"/>
        <v>8</v>
      </c>
      <c r="I705" s="3"/>
    </row>
    <row r="706" spans="1:9" ht="17.25" x14ac:dyDescent="0.25">
      <c r="A706" s="230"/>
      <c r="B706" s="103" t="s">
        <v>151</v>
      </c>
      <c r="C706" s="130" t="s">
        <v>24</v>
      </c>
      <c r="D706" s="109">
        <v>46197</v>
      </c>
      <c r="E706" s="105">
        <v>46198</v>
      </c>
      <c r="F706" s="110"/>
      <c r="G706" s="107">
        <v>-420</v>
      </c>
      <c r="H706" s="108">
        <f>E706-D706+1</f>
        <v>2</v>
      </c>
      <c r="I706" s="3"/>
    </row>
    <row r="707" spans="1:9" x14ac:dyDescent="0.25">
      <c r="A707" s="225"/>
      <c r="B707" s="215" t="s">
        <v>20</v>
      </c>
      <c r="C707" s="216"/>
      <c r="D707" s="216"/>
      <c r="E707" s="216"/>
      <c r="F707" s="217"/>
      <c r="G707" s="111">
        <f>SUM(G703:G706)</f>
        <v>29099</v>
      </c>
      <c r="H707" s="108"/>
      <c r="I707" s="3"/>
    </row>
    <row r="708" spans="1:9" ht="17.25" x14ac:dyDescent="0.25">
      <c r="A708" s="224">
        <v>10</v>
      </c>
      <c r="B708" s="103" t="s">
        <v>171</v>
      </c>
      <c r="C708" s="130" t="s">
        <v>24</v>
      </c>
      <c r="D708" s="105">
        <v>46168</v>
      </c>
      <c r="E708" s="105">
        <v>46198</v>
      </c>
      <c r="F708" s="106">
        <v>1000</v>
      </c>
      <c r="G708" s="107">
        <f>+F708</f>
        <v>1000</v>
      </c>
      <c r="H708" s="108">
        <f t="shared" ref="H708" si="48">E708-D708+1</f>
        <v>31</v>
      </c>
      <c r="I708" s="3"/>
    </row>
    <row r="709" spans="1:9" x14ac:dyDescent="0.25">
      <c r="A709" s="225"/>
      <c r="B709" s="215" t="s">
        <v>20</v>
      </c>
      <c r="C709" s="216"/>
      <c r="D709" s="216"/>
      <c r="E709" s="216"/>
      <c r="F709" s="217"/>
      <c r="G709" s="111">
        <f>SUM(G708:G708)</f>
        <v>1000</v>
      </c>
      <c r="H709" s="114"/>
      <c r="I709" s="3"/>
    </row>
    <row r="710" spans="1:9" x14ac:dyDescent="0.25">
      <c r="A710" s="129" t="str">
        <f>ROMAN(2,0)</f>
        <v>II</v>
      </c>
      <c r="B710" s="116" t="s">
        <v>56</v>
      </c>
      <c r="C710" s="128"/>
      <c r="D710" s="128"/>
      <c r="E710" s="128"/>
      <c r="F710" s="128"/>
      <c r="G710" s="111"/>
      <c r="H710" s="114"/>
      <c r="I710" s="8"/>
    </row>
    <row r="711" spans="1:9" ht="48" customHeight="1" x14ac:dyDescent="0.25">
      <c r="A711" s="131">
        <v>1</v>
      </c>
      <c r="B711" s="19" t="s">
        <v>58</v>
      </c>
      <c r="C711" s="130" t="s">
        <v>57</v>
      </c>
      <c r="D711" s="130"/>
      <c r="E711" s="128"/>
      <c r="F711" s="117">
        <v>65</v>
      </c>
      <c r="G711" s="117">
        <v>15</v>
      </c>
      <c r="H711" s="108"/>
      <c r="I711" s="137" t="s">
        <v>299</v>
      </c>
    </row>
    <row r="712" spans="1:9" ht="28.5" customHeight="1" x14ac:dyDescent="0.25">
      <c r="A712" s="131">
        <v>2</v>
      </c>
      <c r="B712" s="19" t="s">
        <v>73</v>
      </c>
      <c r="C712" s="130" t="s">
        <v>57</v>
      </c>
      <c r="D712" s="130"/>
      <c r="E712" s="128"/>
      <c r="F712" s="117">
        <v>1</v>
      </c>
      <c r="G712" s="117"/>
      <c r="H712" s="114"/>
      <c r="I712" s="23"/>
    </row>
    <row r="713" spans="1:9" x14ac:dyDescent="0.25">
      <c r="F713" s="84"/>
    </row>
    <row r="714" spans="1:9" x14ac:dyDescent="0.25">
      <c r="A714" s="5" t="s">
        <v>60</v>
      </c>
    </row>
    <row r="715" spans="1:9" x14ac:dyDescent="0.25">
      <c r="A715" s="236" t="s">
        <v>21</v>
      </c>
      <c r="B715" s="236"/>
      <c r="C715" s="236"/>
      <c r="D715" s="236"/>
      <c r="E715" s="236" t="s">
        <v>22</v>
      </c>
      <c r="F715" s="236"/>
      <c r="G715" s="236"/>
      <c r="H715" s="236"/>
      <c r="I715" s="236"/>
    </row>
    <row r="721" spans="1:9" ht="15.75" x14ac:dyDescent="0.25">
      <c r="A721" s="197" t="s">
        <v>1</v>
      </c>
      <c r="B721" s="197"/>
      <c r="C721" s="197"/>
      <c r="D721" s="197"/>
      <c r="E721" s="197"/>
      <c r="F721" s="197"/>
      <c r="G721" s="197"/>
      <c r="H721" s="197"/>
      <c r="I721" s="197"/>
    </row>
    <row r="722" spans="1:9" ht="15.75" x14ac:dyDescent="0.25">
      <c r="A722" s="197" t="s">
        <v>2</v>
      </c>
      <c r="B722" s="197"/>
      <c r="C722" s="197"/>
      <c r="D722" s="197"/>
      <c r="E722" s="197"/>
      <c r="F722" s="197"/>
      <c r="G722" s="197"/>
      <c r="H722" s="197"/>
      <c r="I722" s="197"/>
    </row>
    <row r="723" spans="1:9" ht="15" x14ac:dyDescent="0.25">
      <c r="A723" s="18"/>
      <c r="B723" s="18"/>
      <c r="C723" s="18"/>
      <c r="D723" s="18"/>
      <c r="E723" s="18"/>
      <c r="F723" s="18"/>
      <c r="G723" s="18"/>
      <c r="H723" s="18"/>
      <c r="I723" s="18"/>
    </row>
    <row r="724" spans="1:9" ht="20.25" x14ac:dyDescent="0.25">
      <c r="A724" s="204" t="s">
        <v>132</v>
      </c>
      <c r="B724" s="204"/>
      <c r="C724" s="204"/>
      <c r="D724" s="204"/>
      <c r="E724" s="204"/>
      <c r="F724" s="204"/>
      <c r="G724" s="204"/>
      <c r="H724" s="204"/>
      <c r="I724" s="204"/>
    </row>
    <row r="725" spans="1:9" ht="15.75" x14ac:dyDescent="0.25">
      <c r="A725" s="197" t="s">
        <v>302</v>
      </c>
      <c r="B725" s="197"/>
      <c r="C725" s="197"/>
      <c r="D725" s="197"/>
      <c r="E725" s="197"/>
      <c r="F725" s="197"/>
      <c r="G725" s="197"/>
      <c r="H725" s="197"/>
      <c r="I725" s="197"/>
    </row>
    <row r="726" spans="1:9" ht="15.75" x14ac:dyDescent="0.25">
      <c r="A726" s="141"/>
      <c r="B726" s="141"/>
      <c r="C726" s="141"/>
      <c r="D726" s="141"/>
      <c r="E726" s="141"/>
      <c r="F726" s="141"/>
      <c r="G726" s="141"/>
      <c r="H726" s="141"/>
      <c r="I726" s="141"/>
    </row>
    <row r="727" spans="1:9" ht="34.5" customHeight="1" x14ac:dyDescent="0.25">
      <c r="A727" s="219" t="str">
        <f>'Giá trị'!$A$7:$K$7</f>
        <v>- Căn cứ Hợp đồng kinh tế số 0412/HĐKT2025/TP-VIETPANEL ký ngày 04/12/2025 giữa Công ty TNHH xây dựng Việt Panel và Công ty Cổ phần Tập đoàn Thiết bị xây dựng TP về việc cho thuê thiết bị xây dựng.</v>
      </c>
      <c r="B727" s="219"/>
      <c r="C727" s="219"/>
      <c r="D727" s="219"/>
      <c r="E727" s="219"/>
      <c r="F727" s="219"/>
      <c r="G727" s="219"/>
      <c r="H727" s="219"/>
      <c r="I727" s="219"/>
    </row>
    <row r="728" spans="1:9" x14ac:dyDescent="0.25">
      <c r="A728" s="6" t="s">
        <v>51</v>
      </c>
      <c r="B728" s="5" t="str">
        <f>'Giá trị'!$B$8</f>
        <v>Senci</v>
      </c>
      <c r="C728" s="30"/>
      <c r="D728" s="30"/>
      <c r="E728" s="30"/>
    </row>
    <row r="729" spans="1:9" x14ac:dyDescent="0.25">
      <c r="A729" s="6" t="s">
        <v>59</v>
      </c>
      <c r="B729" s="6" t="str">
        <f>'Giá trị'!$B$9</f>
        <v>KCN Phúc Điền, Hải Dương</v>
      </c>
      <c r="C729" s="30"/>
      <c r="D729" s="30"/>
      <c r="E729" s="30"/>
    </row>
    <row r="730" spans="1:9" x14ac:dyDescent="0.25">
      <c r="A730" s="6" t="s">
        <v>3</v>
      </c>
      <c r="C730" s="30"/>
      <c r="D730" s="30"/>
      <c r="E730" s="30"/>
    </row>
    <row r="731" spans="1:9" x14ac:dyDescent="0.25">
      <c r="A731" s="5" t="s">
        <v>172</v>
      </c>
      <c r="C731" s="30"/>
      <c r="D731" s="30"/>
      <c r="E731" s="30"/>
    </row>
    <row r="732" spans="1:9" x14ac:dyDescent="0.25">
      <c r="A732" s="7" t="str">
        <f>'Giá trị'!$A$12</f>
        <v>BÊN THUÊ (BÊN A): CÔNG TY TNHH XÂY DỰNG VIỆT PANEL</v>
      </c>
      <c r="B732" s="7"/>
      <c r="C732" s="150"/>
      <c r="D732" s="150"/>
      <c r="E732" s="150"/>
      <c r="F732" s="7"/>
      <c r="G732" s="7"/>
      <c r="H732" s="7"/>
      <c r="I732" s="7"/>
    </row>
    <row r="733" spans="1:9" x14ac:dyDescent="0.25">
      <c r="A733" s="5" t="s">
        <v>125</v>
      </c>
      <c r="B733" s="5" t="str">
        <f>'Giá trị'!$B$13</f>
        <v>Thôn Đông Phù, Xã Tiên Du, Tỉnh Bắc Ninh, Việt Nam</v>
      </c>
      <c r="C733" s="30"/>
      <c r="D733" s="30"/>
      <c r="E733" s="30"/>
    </row>
    <row r="734" spans="1:9" x14ac:dyDescent="0.25">
      <c r="A734" s="5" t="s">
        <v>5</v>
      </c>
      <c r="C734" s="198" t="str">
        <f>'Giá trị'!$C$14:$D$14</f>
        <v>0222 6535 699</v>
      </c>
      <c r="D734" s="208"/>
    </row>
    <row r="735" spans="1:9" x14ac:dyDescent="0.25">
      <c r="A735" s="5" t="s">
        <v>4</v>
      </c>
      <c r="C735" s="209">
        <f>'Giá trị'!$C$15:$D$15</f>
        <v>616139999</v>
      </c>
      <c r="D735" s="209"/>
      <c r="E735" s="145" t="str">
        <f>'Giá trị'!$E$15</f>
        <v>Tại MB Ngân hàng quân đội</v>
      </c>
    </row>
    <row r="736" spans="1:9" x14ac:dyDescent="0.25">
      <c r="A736" s="5" t="s">
        <v>6</v>
      </c>
      <c r="B736" s="6"/>
      <c r="C736" s="198" t="str">
        <f>'Giá trị'!$C$16:$D$16</f>
        <v>2300856941</v>
      </c>
      <c r="D736" s="198"/>
      <c r="E736" s="6"/>
      <c r="F736" s="6"/>
    </row>
    <row r="737" spans="1:9" x14ac:dyDescent="0.25">
      <c r="A737" s="5" t="s">
        <v>7</v>
      </c>
      <c r="C737" s="7" t="str">
        <f>'Giá trị'!$C$17</f>
        <v>Ông Lưu Đình Cải</v>
      </c>
      <c r="D737" s="150"/>
      <c r="E737" s="5" t="str">
        <f>'Giá trị'!$E$17</f>
        <v>Chức vụ: Giám đốc</v>
      </c>
    </row>
    <row r="738" spans="1:9" x14ac:dyDescent="0.25">
      <c r="C738" s="30"/>
      <c r="D738" s="30"/>
      <c r="E738" s="30"/>
    </row>
    <row r="739" spans="1:9" x14ac:dyDescent="0.25">
      <c r="A739" s="7" t="s">
        <v>8</v>
      </c>
      <c r="B739" s="7"/>
      <c r="C739" s="150"/>
      <c r="D739" s="150"/>
      <c r="E739" s="150"/>
      <c r="F739" s="7"/>
      <c r="G739" s="7"/>
      <c r="H739" s="7"/>
      <c r="I739" s="7"/>
    </row>
    <row r="740" spans="1:9" x14ac:dyDescent="0.25">
      <c r="A740" s="5" t="s">
        <v>115</v>
      </c>
      <c r="C740" s="30"/>
      <c r="D740" s="30"/>
      <c r="E740" s="30"/>
    </row>
    <row r="741" spans="1:9" x14ac:dyDescent="0.25">
      <c r="A741" s="5" t="s">
        <v>5</v>
      </c>
      <c r="C741" s="6" t="s">
        <v>9</v>
      </c>
      <c r="D741" s="24"/>
      <c r="E741" s="30"/>
    </row>
    <row r="742" spans="1:9" x14ac:dyDescent="0.25">
      <c r="A742" s="5" t="s">
        <v>10</v>
      </c>
      <c r="C742" s="32" t="str">
        <f>'Giá trị'!$C$22</f>
        <v>8331100096008</v>
      </c>
      <c r="D742" s="17"/>
      <c r="E742" s="201" t="str">
        <f>$E$22</f>
        <v>Tại Ngân hàng Thương mại cổ phần Quân đội - Chi nhánh Hoàng Quốc Việt</v>
      </c>
      <c r="F742" s="201"/>
      <c r="G742" s="201"/>
      <c r="H742" s="201"/>
      <c r="I742" s="201"/>
    </row>
    <row r="743" spans="1:9" x14ac:dyDescent="0.25">
      <c r="A743" s="5" t="s">
        <v>6</v>
      </c>
      <c r="C743" s="6" t="s">
        <v>19</v>
      </c>
      <c r="D743" s="24"/>
      <c r="E743" s="145"/>
    </row>
    <row r="744" spans="1:9" x14ac:dyDescent="0.25">
      <c r="A744" s="5" t="s">
        <v>7</v>
      </c>
      <c r="C744" s="7" t="s">
        <v>116</v>
      </c>
      <c r="D744" s="150"/>
      <c r="E744" s="145" t="s">
        <v>117</v>
      </c>
    </row>
    <row r="745" spans="1:9" x14ac:dyDescent="0.25">
      <c r="C745" s="30"/>
      <c r="D745" s="30"/>
      <c r="E745" s="30"/>
    </row>
    <row r="746" spans="1:9" x14ac:dyDescent="0.25">
      <c r="A746" s="5" t="s">
        <v>303</v>
      </c>
      <c r="C746" s="30"/>
      <c r="D746" s="30"/>
      <c r="E746" s="30"/>
    </row>
    <row r="747" spans="1:9" ht="49.5" x14ac:dyDescent="0.25">
      <c r="A747" s="3" t="s">
        <v>12</v>
      </c>
      <c r="B747" s="133" t="s">
        <v>13</v>
      </c>
      <c r="C747" s="133" t="s">
        <v>23</v>
      </c>
      <c r="D747" s="133" t="s">
        <v>61</v>
      </c>
      <c r="E747" s="133" t="s">
        <v>14</v>
      </c>
      <c r="F747" s="133" t="s">
        <v>15</v>
      </c>
      <c r="G747" s="133" t="s">
        <v>16</v>
      </c>
      <c r="H747" s="133" t="s">
        <v>62</v>
      </c>
      <c r="I747" s="3" t="s">
        <v>18</v>
      </c>
    </row>
    <row r="748" spans="1:9" x14ac:dyDescent="0.25">
      <c r="A748" s="3" t="str">
        <f>ROMAN(1,0)</f>
        <v>I</v>
      </c>
      <c r="B748" s="134" t="s">
        <v>55</v>
      </c>
      <c r="C748" s="133"/>
      <c r="D748" s="133"/>
      <c r="E748" s="133"/>
      <c r="F748" s="133"/>
      <c r="G748" s="133"/>
      <c r="H748" s="133"/>
      <c r="I748" s="3"/>
    </row>
    <row r="749" spans="1:9" ht="17.25" x14ac:dyDescent="0.25">
      <c r="A749" s="229">
        <v>1</v>
      </c>
      <c r="B749" s="103" t="s">
        <v>148</v>
      </c>
      <c r="C749" s="148" t="s">
        <v>49</v>
      </c>
      <c r="D749" s="105">
        <v>46199</v>
      </c>
      <c r="E749" s="105">
        <v>46228</v>
      </c>
      <c r="F749" s="106">
        <f>G647</f>
        <v>17188</v>
      </c>
      <c r="G749" s="107">
        <f>+F749</f>
        <v>17188</v>
      </c>
      <c r="H749" s="108">
        <f>E749-D749+1</f>
        <v>30</v>
      </c>
      <c r="I749" s="3"/>
    </row>
    <row r="750" spans="1:9" ht="17.25" x14ac:dyDescent="0.25">
      <c r="A750" s="229"/>
      <c r="B750" s="103" t="s">
        <v>148</v>
      </c>
      <c r="C750" s="148" t="s">
        <v>49</v>
      </c>
      <c r="D750" s="109">
        <v>46224</v>
      </c>
      <c r="E750" s="105">
        <v>46228</v>
      </c>
      <c r="F750" s="110"/>
      <c r="G750" s="107">
        <v>-800</v>
      </c>
      <c r="H750" s="108">
        <f t="shared" ref="H750" si="49">E750-D750+1</f>
        <v>5</v>
      </c>
      <c r="I750" s="3"/>
    </row>
    <row r="751" spans="1:9" ht="17.25" hidden="1" x14ac:dyDescent="0.25">
      <c r="A751" s="229"/>
      <c r="B751" s="103" t="s">
        <v>148</v>
      </c>
      <c r="C751" s="148" t="s">
        <v>49</v>
      </c>
      <c r="D751" s="109"/>
      <c r="E751" s="105"/>
      <c r="F751" s="110"/>
      <c r="G751" s="107"/>
      <c r="H751" s="108"/>
      <c r="I751" s="3"/>
    </row>
    <row r="752" spans="1:9" ht="17.25" hidden="1" x14ac:dyDescent="0.25">
      <c r="A752" s="229"/>
      <c r="B752" s="103" t="s">
        <v>148</v>
      </c>
      <c r="C752" s="148" t="s">
        <v>49</v>
      </c>
      <c r="D752" s="109"/>
      <c r="E752" s="105"/>
      <c r="F752" s="110"/>
      <c r="G752" s="107"/>
      <c r="H752" s="108"/>
      <c r="I752" s="3"/>
    </row>
    <row r="753" spans="1:9" ht="17.25" hidden="1" x14ac:dyDescent="0.25">
      <c r="A753" s="229"/>
      <c r="B753" s="103" t="s">
        <v>148</v>
      </c>
      <c r="C753" s="148" t="s">
        <v>49</v>
      </c>
      <c r="D753" s="109"/>
      <c r="E753" s="105"/>
      <c r="F753" s="110"/>
      <c r="G753" s="107"/>
      <c r="H753" s="108"/>
      <c r="I753" s="3"/>
    </row>
    <row r="754" spans="1:9" ht="17.25" hidden="1" x14ac:dyDescent="0.25">
      <c r="A754" s="229"/>
      <c r="B754" s="103" t="s">
        <v>148</v>
      </c>
      <c r="C754" s="148" t="s">
        <v>49</v>
      </c>
      <c r="D754" s="109"/>
      <c r="E754" s="105"/>
      <c r="F754" s="110"/>
      <c r="G754" s="107"/>
      <c r="H754" s="108"/>
      <c r="I754" s="3"/>
    </row>
    <row r="755" spans="1:9" ht="17.25" hidden="1" x14ac:dyDescent="0.25">
      <c r="A755" s="229"/>
      <c r="B755" s="103" t="s">
        <v>148</v>
      </c>
      <c r="C755" s="148" t="s">
        <v>49</v>
      </c>
      <c r="D755" s="109"/>
      <c r="E755" s="105"/>
      <c r="F755" s="110"/>
      <c r="G755" s="107"/>
      <c r="H755" s="108"/>
      <c r="I755" s="3"/>
    </row>
    <row r="756" spans="1:9" ht="17.25" hidden="1" x14ac:dyDescent="0.25">
      <c r="A756" s="229"/>
      <c r="B756" s="103" t="s">
        <v>148</v>
      </c>
      <c r="C756" s="148" t="s">
        <v>49</v>
      </c>
      <c r="D756" s="109"/>
      <c r="E756" s="105"/>
      <c r="F756" s="110"/>
      <c r="G756" s="107"/>
      <c r="H756" s="108"/>
      <c r="I756" s="3"/>
    </row>
    <row r="757" spans="1:9" x14ac:dyDescent="0.25">
      <c r="A757" s="229"/>
      <c r="B757" s="215" t="s">
        <v>20</v>
      </c>
      <c r="C757" s="216"/>
      <c r="D757" s="216"/>
      <c r="E757" s="216"/>
      <c r="F757" s="217"/>
      <c r="G757" s="111">
        <f>SUM(G749:G756)</f>
        <v>16388</v>
      </c>
      <c r="H757" s="108"/>
      <c r="I757" s="3"/>
    </row>
    <row r="758" spans="1:9" ht="17.25" x14ac:dyDescent="0.25">
      <c r="A758" s="224">
        <v>2</v>
      </c>
      <c r="B758" s="103" t="s">
        <v>122</v>
      </c>
      <c r="C758" s="148" t="s">
        <v>49</v>
      </c>
      <c r="D758" s="105">
        <v>46199</v>
      </c>
      <c r="E758" s="105">
        <v>46228</v>
      </c>
      <c r="F758" s="106">
        <f>G657</f>
        <v>26701</v>
      </c>
      <c r="G758" s="107">
        <f>+F758</f>
        <v>26701</v>
      </c>
      <c r="H758" s="108">
        <f t="shared" ref="H758:H761" si="50">E758-D758+1</f>
        <v>30</v>
      </c>
      <c r="I758" s="3"/>
    </row>
    <row r="759" spans="1:9" ht="17.25" x14ac:dyDescent="0.25">
      <c r="A759" s="230"/>
      <c r="B759" s="103" t="s">
        <v>122</v>
      </c>
      <c r="C759" s="148" t="s">
        <v>49</v>
      </c>
      <c r="D759" s="109">
        <v>46200</v>
      </c>
      <c r="E759" s="105">
        <v>46228</v>
      </c>
      <c r="F759" s="110"/>
      <c r="G759" s="107">
        <v>-100</v>
      </c>
      <c r="H759" s="108">
        <f t="shared" si="50"/>
        <v>29</v>
      </c>
      <c r="I759" s="3"/>
    </row>
    <row r="760" spans="1:9" ht="17.25" x14ac:dyDescent="0.25">
      <c r="A760" s="230"/>
      <c r="B760" s="103" t="s">
        <v>122</v>
      </c>
      <c r="C760" s="148" t="s">
        <v>49</v>
      </c>
      <c r="D760" s="109">
        <v>46208</v>
      </c>
      <c r="E760" s="105">
        <v>46228</v>
      </c>
      <c r="F760" s="110"/>
      <c r="G760" s="107">
        <v>-400</v>
      </c>
      <c r="H760" s="108">
        <f t="shared" si="50"/>
        <v>21</v>
      </c>
      <c r="I760" s="3"/>
    </row>
    <row r="761" spans="1:9" ht="17.25" x14ac:dyDescent="0.25">
      <c r="A761" s="230"/>
      <c r="B761" s="103" t="s">
        <v>122</v>
      </c>
      <c r="C761" s="148" t="s">
        <v>49</v>
      </c>
      <c r="D761" s="109">
        <v>46224</v>
      </c>
      <c r="E761" s="105">
        <v>46228</v>
      </c>
      <c r="F761" s="110"/>
      <c r="G761" s="107">
        <v>-300</v>
      </c>
      <c r="H761" s="108">
        <f t="shared" si="50"/>
        <v>5</v>
      </c>
      <c r="I761" s="3"/>
    </row>
    <row r="762" spans="1:9" ht="17.25" hidden="1" x14ac:dyDescent="0.25">
      <c r="A762" s="230"/>
      <c r="B762" s="103" t="s">
        <v>122</v>
      </c>
      <c r="C762" s="148" t="s">
        <v>49</v>
      </c>
      <c r="D762" s="109"/>
      <c r="E762" s="105"/>
      <c r="F762" s="110"/>
      <c r="G762" s="107"/>
      <c r="H762" s="108"/>
      <c r="I762" s="3"/>
    </row>
    <row r="763" spans="1:9" ht="17.25" hidden="1" x14ac:dyDescent="0.25">
      <c r="A763" s="230"/>
      <c r="B763" s="103" t="s">
        <v>122</v>
      </c>
      <c r="C763" s="148" t="s">
        <v>49</v>
      </c>
      <c r="D763" s="109"/>
      <c r="E763" s="105"/>
      <c r="F763" s="110"/>
      <c r="G763" s="107"/>
      <c r="H763" s="108"/>
      <c r="I763" s="3"/>
    </row>
    <row r="764" spans="1:9" ht="17.25" hidden="1" x14ac:dyDescent="0.25">
      <c r="A764" s="230"/>
      <c r="B764" s="103" t="s">
        <v>122</v>
      </c>
      <c r="C764" s="148" t="s">
        <v>49</v>
      </c>
      <c r="D764" s="109"/>
      <c r="E764" s="105"/>
      <c r="F764" s="110"/>
      <c r="G764" s="107"/>
      <c r="H764" s="108"/>
      <c r="I764" s="3"/>
    </row>
    <row r="765" spans="1:9" ht="17.25" hidden="1" x14ac:dyDescent="0.25">
      <c r="A765" s="230"/>
      <c r="B765" s="103" t="s">
        <v>122</v>
      </c>
      <c r="C765" s="148" t="s">
        <v>49</v>
      </c>
      <c r="D765" s="109"/>
      <c r="E765" s="105"/>
      <c r="F765" s="110"/>
      <c r="G765" s="107"/>
      <c r="H765" s="108"/>
      <c r="I765" s="3"/>
    </row>
    <row r="766" spans="1:9" ht="17.25" hidden="1" x14ac:dyDescent="0.25">
      <c r="A766" s="230"/>
      <c r="B766" s="103" t="s">
        <v>122</v>
      </c>
      <c r="C766" s="148" t="s">
        <v>49</v>
      </c>
      <c r="D766" s="109"/>
      <c r="E766" s="105"/>
      <c r="F766" s="110"/>
      <c r="G766" s="107"/>
      <c r="H766" s="108"/>
      <c r="I766" s="3"/>
    </row>
    <row r="767" spans="1:9" x14ac:dyDescent="0.25">
      <c r="A767" s="225"/>
      <c r="B767" s="215" t="s">
        <v>20</v>
      </c>
      <c r="C767" s="216"/>
      <c r="D767" s="216"/>
      <c r="E767" s="216"/>
      <c r="F767" s="217"/>
      <c r="G767" s="111">
        <f>SUM(G758:G766)</f>
        <v>25901</v>
      </c>
      <c r="H767" s="108"/>
      <c r="I767" s="3"/>
    </row>
    <row r="768" spans="1:9" ht="17.25" x14ac:dyDescent="0.25">
      <c r="A768" s="224">
        <v>3</v>
      </c>
      <c r="B768" s="103" t="s">
        <v>118</v>
      </c>
      <c r="C768" s="148" t="s">
        <v>49</v>
      </c>
      <c r="D768" s="105">
        <v>46199</v>
      </c>
      <c r="E768" s="105">
        <v>46228</v>
      </c>
      <c r="F768" s="106">
        <f>G665</f>
        <v>9700</v>
      </c>
      <c r="G768" s="107">
        <f>+F768</f>
        <v>9700</v>
      </c>
      <c r="H768" s="108">
        <f t="shared" ref="H768:H772" si="51">E768-D768+1</f>
        <v>30</v>
      </c>
      <c r="I768" s="3"/>
    </row>
    <row r="769" spans="1:9" ht="17.25" x14ac:dyDescent="0.25">
      <c r="A769" s="230"/>
      <c r="B769" s="103" t="s">
        <v>118</v>
      </c>
      <c r="C769" s="148" t="s">
        <v>49</v>
      </c>
      <c r="D769" s="109">
        <v>46200</v>
      </c>
      <c r="E769" s="105">
        <v>46228</v>
      </c>
      <c r="F769" s="110"/>
      <c r="G769" s="107">
        <v>-1200</v>
      </c>
      <c r="H769" s="108">
        <f t="shared" si="51"/>
        <v>29</v>
      </c>
      <c r="I769" s="3"/>
    </row>
    <row r="770" spans="1:9" ht="17.25" x14ac:dyDescent="0.25">
      <c r="A770" s="230"/>
      <c r="B770" s="103" t="s">
        <v>118</v>
      </c>
      <c r="C770" s="148" t="s">
        <v>49</v>
      </c>
      <c r="D770" s="109">
        <v>46208</v>
      </c>
      <c r="E770" s="105">
        <v>46228</v>
      </c>
      <c r="F770" s="110"/>
      <c r="G770" s="107">
        <v>-900</v>
      </c>
      <c r="H770" s="108">
        <f t="shared" si="51"/>
        <v>21</v>
      </c>
      <c r="I770" s="3"/>
    </row>
    <row r="771" spans="1:9" ht="17.25" x14ac:dyDescent="0.25">
      <c r="A771" s="230"/>
      <c r="B771" s="103" t="s">
        <v>118</v>
      </c>
      <c r="C771" s="148" t="s">
        <v>49</v>
      </c>
      <c r="D771" s="109">
        <v>46208</v>
      </c>
      <c r="E771" s="105">
        <v>46228</v>
      </c>
      <c r="F771" s="110"/>
      <c r="G771" s="107">
        <v>-400</v>
      </c>
      <c r="H771" s="108">
        <f t="shared" si="51"/>
        <v>21</v>
      </c>
      <c r="I771" s="3"/>
    </row>
    <row r="772" spans="1:9" ht="17.25" x14ac:dyDescent="0.25">
      <c r="A772" s="230"/>
      <c r="B772" s="103" t="s">
        <v>118</v>
      </c>
      <c r="C772" s="148" t="s">
        <v>49</v>
      </c>
      <c r="D772" s="109">
        <v>46224</v>
      </c>
      <c r="E772" s="105">
        <v>46228</v>
      </c>
      <c r="F772" s="110"/>
      <c r="G772" s="107">
        <v>-200</v>
      </c>
      <c r="H772" s="108">
        <f t="shared" si="51"/>
        <v>5</v>
      </c>
      <c r="I772" s="3"/>
    </row>
    <row r="773" spans="1:9" ht="17.25" hidden="1" x14ac:dyDescent="0.25">
      <c r="A773" s="230"/>
      <c r="B773" s="103" t="s">
        <v>118</v>
      </c>
      <c r="C773" s="148" t="s">
        <v>49</v>
      </c>
      <c r="D773" s="109"/>
      <c r="E773" s="105"/>
      <c r="F773" s="110"/>
      <c r="G773" s="107"/>
      <c r="H773" s="108"/>
      <c r="I773" s="3"/>
    </row>
    <row r="774" spans="1:9" ht="17.25" hidden="1" x14ac:dyDescent="0.25">
      <c r="A774" s="230"/>
      <c r="B774" s="103" t="s">
        <v>118</v>
      </c>
      <c r="C774" s="148" t="s">
        <v>49</v>
      </c>
      <c r="D774" s="109"/>
      <c r="E774" s="105"/>
      <c r="F774" s="110"/>
      <c r="G774" s="107"/>
      <c r="H774" s="108"/>
      <c r="I774" s="3"/>
    </row>
    <row r="775" spans="1:9" x14ac:dyDescent="0.25">
      <c r="A775" s="225"/>
      <c r="B775" s="215" t="s">
        <v>20</v>
      </c>
      <c r="C775" s="216"/>
      <c r="D775" s="216"/>
      <c r="E775" s="216"/>
      <c r="F775" s="217"/>
      <c r="G775" s="111">
        <f>SUM(G768:G774)</f>
        <v>7000</v>
      </c>
      <c r="H775" s="108"/>
      <c r="I775" s="3"/>
    </row>
    <row r="776" spans="1:9" ht="17.25" x14ac:dyDescent="0.25">
      <c r="A776" s="224">
        <v>4</v>
      </c>
      <c r="B776" s="103" t="s">
        <v>50</v>
      </c>
      <c r="C776" s="148" t="s">
        <v>49</v>
      </c>
      <c r="D776" s="105">
        <v>46199</v>
      </c>
      <c r="E776" s="105">
        <v>46228</v>
      </c>
      <c r="F776" s="106">
        <f>G677</f>
        <v>32654</v>
      </c>
      <c r="G776" s="107">
        <f>+F776</f>
        <v>32654</v>
      </c>
      <c r="H776" s="108">
        <f t="shared" ref="H776:H783" si="52">E776-D776+1</f>
        <v>30</v>
      </c>
      <c r="I776" s="3"/>
    </row>
    <row r="777" spans="1:9" ht="17.25" x14ac:dyDescent="0.25">
      <c r="A777" s="230"/>
      <c r="B777" s="103" t="s">
        <v>50</v>
      </c>
      <c r="C777" s="148" t="s">
        <v>49</v>
      </c>
      <c r="D777" s="105">
        <v>46200</v>
      </c>
      <c r="E777" s="105">
        <v>46228</v>
      </c>
      <c r="F777" s="106"/>
      <c r="G777" s="107">
        <v>-1600</v>
      </c>
      <c r="H777" s="108">
        <f t="shared" si="52"/>
        <v>29</v>
      </c>
      <c r="I777" s="3"/>
    </row>
    <row r="778" spans="1:9" ht="17.25" x14ac:dyDescent="0.25">
      <c r="A778" s="230"/>
      <c r="B778" s="103" t="s">
        <v>50</v>
      </c>
      <c r="C778" s="148" t="s">
        <v>49</v>
      </c>
      <c r="D778" s="105">
        <v>46200</v>
      </c>
      <c r="E778" s="105">
        <v>46228</v>
      </c>
      <c r="F778" s="106"/>
      <c r="G778" s="107">
        <v>-400</v>
      </c>
      <c r="H778" s="108">
        <f t="shared" si="52"/>
        <v>29</v>
      </c>
      <c r="I778" s="3"/>
    </row>
    <row r="779" spans="1:9" ht="17.25" x14ac:dyDescent="0.25">
      <c r="A779" s="230"/>
      <c r="B779" s="103" t="s">
        <v>50</v>
      </c>
      <c r="C779" s="148" t="s">
        <v>49</v>
      </c>
      <c r="D779" s="105">
        <v>46206</v>
      </c>
      <c r="E779" s="105">
        <v>46228</v>
      </c>
      <c r="F779" s="106"/>
      <c r="G779" s="107">
        <v>-900</v>
      </c>
      <c r="H779" s="108">
        <f t="shared" si="52"/>
        <v>23</v>
      </c>
      <c r="I779" s="3"/>
    </row>
    <row r="780" spans="1:9" ht="17.25" x14ac:dyDescent="0.25">
      <c r="A780" s="230"/>
      <c r="B780" s="103" t="s">
        <v>50</v>
      </c>
      <c r="C780" s="148" t="s">
        <v>49</v>
      </c>
      <c r="D780" s="105">
        <v>46208</v>
      </c>
      <c r="E780" s="105">
        <v>46228</v>
      </c>
      <c r="F780" s="106"/>
      <c r="G780" s="107">
        <v>-300</v>
      </c>
      <c r="H780" s="108">
        <f t="shared" si="52"/>
        <v>21</v>
      </c>
      <c r="I780" s="3"/>
    </row>
    <row r="781" spans="1:9" ht="17.25" x14ac:dyDescent="0.25">
      <c r="A781" s="230"/>
      <c r="B781" s="103" t="s">
        <v>50</v>
      </c>
      <c r="C781" s="148" t="s">
        <v>49</v>
      </c>
      <c r="D781" s="105">
        <v>46208</v>
      </c>
      <c r="E781" s="105">
        <v>46228</v>
      </c>
      <c r="F781" s="106"/>
      <c r="G781" s="107">
        <v>-900</v>
      </c>
      <c r="H781" s="108">
        <f t="shared" si="52"/>
        <v>21</v>
      </c>
      <c r="I781" s="3"/>
    </row>
    <row r="782" spans="1:9" ht="17.25" x14ac:dyDescent="0.25">
      <c r="A782" s="230"/>
      <c r="B782" s="103" t="s">
        <v>50</v>
      </c>
      <c r="C782" s="148" t="s">
        <v>49</v>
      </c>
      <c r="D782" s="105">
        <v>46214</v>
      </c>
      <c r="E782" s="105">
        <v>46228</v>
      </c>
      <c r="F782" s="106"/>
      <c r="G782" s="107">
        <v>-1100</v>
      </c>
      <c r="H782" s="108">
        <f t="shared" si="52"/>
        <v>15</v>
      </c>
      <c r="I782" s="3"/>
    </row>
    <row r="783" spans="1:9" ht="17.25" x14ac:dyDescent="0.25">
      <c r="A783" s="230"/>
      <c r="B783" s="103" t="s">
        <v>50</v>
      </c>
      <c r="C783" s="148" t="s">
        <v>49</v>
      </c>
      <c r="D783" s="105">
        <v>46224</v>
      </c>
      <c r="E783" s="105">
        <v>46228</v>
      </c>
      <c r="F783" s="106"/>
      <c r="G783" s="107">
        <v>-700</v>
      </c>
      <c r="H783" s="108">
        <f t="shared" si="52"/>
        <v>5</v>
      </c>
      <c r="I783" s="3"/>
    </row>
    <row r="784" spans="1:9" ht="17.25" hidden="1" x14ac:dyDescent="0.25">
      <c r="A784" s="230"/>
      <c r="B784" s="103" t="s">
        <v>50</v>
      </c>
      <c r="C784" s="148" t="s">
        <v>49</v>
      </c>
      <c r="D784" s="105"/>
      <c r="E784" s="105"/>
      <c r="F784" s="106"/>
      <c r="G784" s="107"/>
      <c r="H784" s="108"/>
      <c r="I784" s="3"/>
    </row>
    <row r="785" spans="1:9" ht="17.25" hidden="1" x14ac:dyDescent="0.25">
      <c r="A785" s="230"/>
      <c r="B785" s="103" t="s">
        <v>50</v>
      </c>
      <c r="C785" s="148" t="s">
        <v>49</v>
      </c>
      <c r="D785" s="105"/>
      <c r="E785" s="105"/>
      <c r="F785" s="106"/>
      <c r="G785" s="107"/>
      <c r="H785" s="108"/>
      <c r="I785" s="3"/>
    </row>
    <row r="786" spans="1:9" ht="17.25" hidden="1" x14ac:dyDescent="0.25">
      <c r="A786" s="230"/>
      <c r="B786" s="103" t="s">
        <v>50</v>
      </c>
      <c r="C786" s="148" t="s">
        <v>49</v>
      </c>
      <c r="D786" s="105"/>
      <c r="E786" s="105"/>
      <c r="F786" s="106"/>
      <c r="G786" s="107"/>
      <c r="H786" s="108"/>
      <c r="I786" s="3"/>
    </row>
    <row r="787" spans="1:9" x14ac:dyDescent="0.25">
      <c r="A787" s="225"/>
      <c r="B787" s="210" t="s">
        <v>20</v>
      </c>
      <c r="C787" s="210"/>
      <c r="D787" s="210"/>
      <c r="E787" s="210"/>
      <c r="F787" s="210"/>
      <c r="G787" s="111">
        <f>SUM(G776:G786)</f>
        <v>26754</v>
      </c>
      <c r="H787" s="108"/>
      <c r="I787" s="3"/>
    </row>
    <row r="788" spans="1:9" ht="17.25" x14ac:dyDescent="0.25">
      <c r="A788" s="224">
        <v>5</v>
      </c>
      <c r="B788" s="103" t="s">
        <v>126</v>
      </c>
      <c r="C788" s="148" t="s">
        <v>24</v>
      </c>
      <c r="D788" s="105">
        <v>46199</v>
      </c>
      <c r="E788" s="105">
        <v>46228</v>
      </c>
      <c r="F788" s="106">
        <f>G682</f>
        <v>32350</v>
      </c>
      <c r="G788" s="107">
        <f>+F788</f>
        <v>32350</v>
      </c>
      <c r="H788" s="108">
        <f t="shared" ref="H788:H793" si="53">E788-D788+1</f>
        <v>30</v>
      </c>
      <c r="I788" s="3"/>
    </row>
    <row r="789" spans="1:9" ht="17.25" x14ac:dyDescent="0.25">
      <c r="A789" s="230"/>
      <c r="B789" s="103" t="s">
        <v>126</v>
      </c>
      <c r="C789" s="148" t="s">
        <v>24</v>
      </c>
      <c r="D789" s="105">
        <v>46206</v>
      </c>
      <c r="E789" s="105">
        <v>46228</v>
      </c>
      <c r="F789" s="106"/>
      <c r="G789" s="107">
        <v>-630</v>
      </c>
      <c r="H789" s="108">
        <f t="shared" si="53"/>
        <v>23</v>
      </c>
      <c r="I789" s="3"/>
    </row>
    <row r="790" spans="1:9" ht="17.25" x14ac:dyDescent="0.25">
      <c r="A790" s="230"/>
      <c r="B790" s="103" t="s">
        <v>126</v>
      </c>
      <c r="C790" s="148" t="s">
        <v>24</v>
      </c>
      <c r="D790" s="105">
        <v>46208</v>
      </c>
      <c r="E790" s="105">
        <v>46228</v>
      </c>
      <c r="F790" s="106"/>
      <c r="G790" s="107">
        <v>-630</v>
      </c>
      <c r="H790" s="108">
        <f t="shared" si="53"/>
        <v>21</v>
      </c>
      <c r="I790" s="3"/>
    </row>
    <row r="791" spans="1:9" ht="17.25" x14ac:dyDescent="0.25">
      <c r="A791" s="230"/>
      <c r="B791" s="103" t="s">
        <v>126</v>
      </c>
      <c r="C791" s="148" t="s">
        <v>24</v>
      </c>
      <c r="D791" s="105">
        <v>46210</v>
      </c>
      <c r="E791" s="105">
        <v>46228</v>
      </c>
      <c r="F791" s="106"/>
      <c r="G791" s="107">
        <v>-1680</v>
      </c>
      <c r="H791" s="108">
        <f t="shared" si="53"/>
        <v>19</v>
      </c>
      <c r="I791" s="3"/>
    </row>
    <row r="792" spans="1:9" ht="17.25" x14ac:dyDescent="0.25">
      <c r="A792" s="230"/>
      <c r="B792" s="103" t="s">
        <v>126</v>
      </c>
      <c r="C792" s="148" t="s">
        <v>24</v>
      </c>
      <c r="D792" s="109">
        <v>46224</v>
      </c>
      <c r="E792" s="105">
        <v>46228</v>
      </c>
      <c r="F792" s="110"/>
      <c r="G792" s="107">
        <v>-210</v>
      </c>
      <c r="H792" s="108">
        <f t="shared" si="53"/>
        <v>5</v>
      </c>
      <c r="I792" s="3"/>
    </row>
    <row r="793" spans="1:9" ht="17.25" x14ac:dyDescent="0.25">
      <c r="A793" s="230"/>
      <c r="B793" s="103" t="s">
        <v>126</v>
      </c>
      <c r="C793" s="152" t="s">
        <v>24</v>
      </c>
      <c r="D793" s="109">
        <v>46227</v>
      </c>
      <c r="E793" s="105">
        <v>46228</v>
      </c>
      <c r="F793" s="110"/>
      <c r="G793" s="107">
        <v>-2100</v>
      </c>
      <c r="H793" s="108">
        <f t="shared" si="53"/>
        <v>2</v>
      </c>
      <c r="I793" s="3"/>
    </row>
    <row r="794" spans="1:9" x14ac:dyDescent="0.25">
      <c r="A794" s="225"/>
      <c r="B794" s="215" t="s">
        <v>20</v>
      </c>
      <c r="C794" s="216"/>
      <c r="D794" s="216"/>
      <c r="E794" s="216"/>
      <c r="F794" s="217"/>
      <c r="G794" s="111">
        <f>SUM(G788:G793)</f>
        <v>27100</v>
      </c>
      <c r="H794" s="108"/>
      <c r="I794" s="3"/>
    </row>
    <row r="795" spans="1:9" ht="17.25" x14ac:dyDescent="0.25">
      <c r="A795" s="224">
        <v>6</v>
      </c>
      <c r="B795" s="103" t="s">
        <v>149</v>
      </c>
      <c r="C795" s="148" t="s">
        <v>24</v>
      </c>
      <c r="D795" s="105">
        <v>46199</v>
      </c>
      <c r="E795" s="105">
        <v>46228</v>
      </c>
      <c r="F795" s="106">
        <f>G685</f>
        <v>21692</v>
      </c>
      <c r="G795" s="107">
        <f>+F795</f>
        <v>21692</v>
      </c>
      <c r="H795" s="108">
        <f t="shared" ref="H795:H800" si="54">E795-D795+1</f>
        <v>30</v>
      </c>
      <c r="I795" s="3"/>
    </row>
    <row r="796" spans="1:9" ht="17.25" x14ac:dyDescent="0.25">
      <c r="A796" s="230"/>
      <c r="B796" s="103" t="s">
        <v>149</v>
      </c>
      <c r="C796" s="148" t="s">
        <v>24</v>
      </c>
      <c r="D796" s="109">
        <v>46200</v>
      </c>
      <c r="E796" s="105">
        <v>46228</v>
      </c>
      <c r="F796" s="110"/>
      <c r="G796" s="107">
        <v>-352</v>
      </c>
      <c r="H796" s="108">
        <f t="shared" si="54"/>
        <v>29</v>
      </c>
      <c r="I796" s="3"/>
    </row>
    <row r="797" spans="1:9" ht="17.25" x14ac:dyDescent="0.25">
      <c r="A797" s="230"/>
      <c r="B797" s="103" t="s">
        <v>149</v>
      </c>
      <c r="C797" s="148" t="s">
        <v>24</v>
      </c>
      <c r="D797" s="109">
        <v>46206</v>
      </c>
      <c r="E797" s="105">
        <v>46228</v>
      </c>
      <c r="F797" s="110"/>
      <c r="G797" s="107">
        <v>-375</v>
      </c>
      <c r="H797" s="108">
        <f t="shared" si="54"/>
        <v>23</v>
      </c>
      <c r="I797" s="3"/>
    </row>
    <row r="798" spans="1:9" ht="17.25" x14ac:dyDescent="0.25">
      <c r="A798" s="230"/>
      <c r="B798" s="103" t="s">
        <v>149</v>
      </c>
      <c r="C798" s="148" t="s">
        <v>24</v>
      </c>
      <c r="D798" s="109">
        <v>46208</v>
      </c>
      <c r="E798" s="105">
        <v>46228</v>
      </c>
      <c r="F798" s="110"/>
      <c r="G798" s="107">
        <v>-357</v>
      </c>
      <c r="H798" s="108">
        <f t="shared" si="54"/>
        <v>21</v>
      </c>
      <c r="I798" s="3"/>
    </row>
    <row r="799" spans="1:9" ht="17.25" x14ac:dyDescent="0.25">
      <c r="A799" s="230"/>
      <c r="B799" s="103" t="s">
        <v>149</v>
      </c>
      <c r="C799" s="152" t="s">
        <v>24</v>
      </c>
      <c r="D799" s="109">
        <v>46216</v>
      </c>
      <c r="E799" s="105">
        <v>46228</v>
      </c>
      <c r="F799" s="110"/>
      <c r="G799" s="107">
        <v>-336</v>
      </c>
      <c r="H799" s="108">
        <f t="shared" si="54"/>
        <v>13</v>
      </c>
      <c r="I799" s="3"/>
    </row>
    <row r="800" spans="1:9" ht="17.25" x14ac:dyDescent="0.25">
      <c r="A800" s="230"/>
      <c r="B800" s="103" t="s">
        <v>149</v>
      </c>
      <c r="C800" s="152" t="s">
        <v>24</v>
      </c>
      <c r="D800" s="109">
        <v>46227</v>
      </c>
      <c r="E800" s="105">
        <v>46228</v>
      </c>
      <c r="F800" s="110"/>
      <c r="G800" s="107">
        <v>-127</v>
      </c>
      <c r="H800" s="108">
        <f t="shared" si="54"/>
        <v>2</v>
      </c>
      <c r="I800" s="3"/>
    </row>
    <row r="801" spans="1:9" x14ac:dyDescent="0.25">
      <c r="A801" s="225"/>
      <c r="B801" s="215" t="s">
        <v>20</v>
      </c>
      <c r="C801" s="216"/>
      <c r="D801" s="216"/>
      <c r="E801" s="216"/>
      <c r="F801" s="217"/>
      <c r="G801" s="111">
        <f>SUM(G795:G800)</f>
        <v>20145</v>
      </c>
      <c r="H801" s="108"/>
      <c r="I801" s="3"/>
    </row>
    <row r="802" spans="1:9" ht="17.25" x14ac:dyDescent="0.25">
      <c r="A802" s="224">
        <v>7</v>
      </c>
      <c r="B802" s="103" t="s">
        <v>0</v>
      </c>
      <c r="C802" s="148" t="s">
        <v>24</v>
      </c>
      <c r="D802" s="105">
        <v>46199</v>
      </c>
      <c r="E802" s="105">
        <v>46228</v>
      </c>
      <c r="F802" s="106">
        <f>G698</f>
        <v>164313</v>
      </c>
      <c r="G802" s="107">
        <f>+F802</f>
        <v>164313</v>
      </c>
      <c r="H802" s="108">
        <f t="shared" ref="H802:H809" si="55">E802-D802+1</f>
        <v>30</v>
      </c>
      <c r="I802" s="3"/>
    </row>
    <row r="803" spans="1:9" ht="17.25" x14ac:dyDescent="0.25">
      <c r="A803" s="230"/>
      <c r="B803" s="103" t="s">
        <v>0</v>
      </c>
      <c r="C803" s="148" t="s">
        <v>24</v>
      </c>
      <c r="D803" s="109">
        <v>46200</v>
      </c>
      <c r="E803" s="105">
        <v>46228</v>
      </c>
      <c r="F803" s="110"/>
      <c r="G803" s="107">
        <v>-4620</v>
      </c>
      <c r="H803" s="108">
        <f t="shared" si="55"/>
        <v>29</v>
      </c>
      <c r="I803" s="3"/>
    </row>
    <row r="804" spans="1:9" ht="17.25" x14ac:dyDescent="0.25">
      <c r="A804" s="230"/>
      <c r="B804" s="103" t="s">
        <v>0</v>
      </c>
      <c r="C804" s="148" t="s">
        <v>24</v>
      </c>
      <c r="D804" s="109">
        <v>46200</v>
      </c>
      <c r="E804" s="105">
        <v>46228</v>
      </c>
      <c r="F804" s="110"/>
      <c r="G804" s="107">
        <v>-3234</v>
      </c>
      <c r="H804" s="108">
        <f t="shared" si="55"/>
        <v>29</v>
      </c>
      <c r="I804" s="3"/>
    </row>
    <row r="805" spans="1:9" ht="17.25" x14ac:dyDescent="0.25">
      <c r="A805" s="230"/>
      <c r="B805" s="103" t="s">
        <v>0</v>
      </c>
      <c r="C805" s="148" t="s">
        <v>24</v>
      </c>
      <c r="D805" s="109">
        <v>46206</v>
      </c>
      <c r="E805" s="105">
        <v>46228</v>
      </c>
      <c r="F805" s="110"/>
      <c r="G805" s="107">
        <v>-5544</v>
      </c>
      <c r="H805" s="108">
        <f t="shared" si="55"/>
        <v>23</v>
      </c>
      <c r="I805" s="3"/>
    </row>
    <row r="806" spans="1:9" ht="17.25" x14ac:dyDescent="0.25">
      <c r="A806" s="230"/>
      <c r="B806" s="103" t="s">
        <v>0</v>
      </c>
      <c r="C806" s="148" t="s">
        <v>24</v>
      </c>
      <c r="D806" s="109">
        <v>46208</v>
      </c>
      <c r="E806" s="105">
        <v>46228</v>
      </c>
      <c r="F806" s="110"/>
      <c r="G806" s="107">
        <v>-1848</v>
      </c>
      <c r="H806" s="108">
        <f t="shared" si="55"/>
        <v>21</v>
      </c>
      <c r="I806" s="3"/>
    </row>
    <row r="807" spans="1:9" ht="17.25" x14ac:dyDescent="0.25">
      <c r="A807" s="230"/>
      <c r="B807" s="103" t="s">
        <v>0</v>
      </c>
      <c r="C807" s="148" t="s">
        <v>24</v>
      </c>
      <c r="D807" s="109">
        <v>46208</v>
      </c>
      <c r="E807" s="105">
        <v>46228</v>
      </c>
      <c r="F807" s="110"/>
      <c r="G807" s="107">
        <v>-2310</v>
      </c>
      <c r="H807" s="108">
        <f t="shared" si="55"/>
        <v>21</v>
      </c>
      <c r="I807" s="3"/>
    </row>
    <row r="808" spans="1:9" ht="17.25" x14ac:dyDescent="0.25">
      <c r="A808" s="230"/>
      <c r="B808" s="103" t="s">
        <v>0</v>
      </c>
      <c r="C808" s="148" t="s">
        <v>24</v>
      </c>
      <c r="D808" s="109">
        <v>46214</v>
      </c>
      <c r="E808" s="105">
        <v>46228</v>
      </c>
      <c r="F808" s="110"/>
      <c r="G808" s="107">
        <v>-2772</v>
      </c>
      <c r="H808" s="108">
        <f t="shared" si="55"/>
        <v>15</v>
      </c>
      <c r="I808" s="3"/>
    </row>
    <row r="809" spans="1:9" ht="17.25" x14ac:dyDescent="0.25">
      <c r="A809" s="230"/>
      <c r="B809" s="103" t="s">
        <v>0</v>
      </c>
      <c r="C809" s="148" t="s">
        <v>24</v>
      </c>
      <c r="D809" s="109">
        <v>46224</v>
      </c>
      <c r="E809" s="105">
        <v>46228</v>
      </c>
      <c r="F809" s="110"/>
      <c r="G809" s="107">
        <v>-3696</v>
      </c>
      <c r="H809" s="108">
        <f t="shared" si="55"/>
        <v>5</v>
      </c>
      <c r="I809" s="3"/>
    </row>
    <row r="810" spans="1:9" ht="17.25" hidden="1" x14ac:dyDescent="0.25">
      <c r="A810" s="230"/>
      <c r="B810" s="103" t="s">
        <v>0</v>
      </c>
      <c r="C810" s="148" t="s">
        <v>24</v>
      </c>
      <c r="D810" s="109"/>
      <c r="E810" s="105"/>
      <c r="F810" s="110"/>
      <c r="G810" s="107"/>
      <c r="H810" s="108"/>
      <c r="I810" s="3"/>
    </row>
    <row r="811" spans="1:9" ht="17.25" hidden="1" x14ac:dyDescent="0.25">
      <c r="A811" s="230"/>
      <c r="B811" s="103" t="s">
        <v>0</v>
      </c>
      <c r="C811" s="148" t="s">
        <v>24</v>
      </c>
      <c r="D811" s="109"/>
      <c r="E811" s="105"/>
      <c r="F811" s="110"/>
      <c r="G811" s="107"/>
      <c r="H811" s="108"/>
      <c r="I811" s="3"/>
    </row>
    <row r="812" spans="1:9" ht="17.25" hidden="1" x14ac:dyDescent="0.25">
      <c r="A812" s="230"/>
      <c r="B812" s="103" t="s">
        <v>0</v>
      </c>
      <c r="C812" s="148" t="s">
        <v>24</v>
      </c>
      <c r="D812" s="109"/>
      <c r="E812" s="105"/>
      <c r="F812" s="110"/>
      <c r="G812" s="107"/>
      <c r="H812" s="108"/>
      <c r="I812" s="3"/>
    </row>
    <row r="813" spans="1:9" ht="17.25" hidden="1" x14ac:dyDescent="0.25">
      <c r="A813" s="230"/>
      <c r="B813" s="103" t="s">
        <v>0</v>
      </c>
      <c r="C813" s="148" t="s">
        <v>24</v>
      </c>
      <c r="D813" s="109"/>
      <c r="E813" s="105"/>
      <c r="F813" s="110"/>
      <c r="G813" s="107"/>
      <c r="H813" s="108"/>
      <c r="I813" s="3"/>
    </row>
    <row r="814" spans="1:9" x14ac:dyDescent="0.25">
      <c r="A814" s="225"/>
      <c r="B814" s="215" t="s">
        <v>20</v>
      </c>
      <c r="C814" s="216"/>
      <c r="D814" s="216"/>
      <c r="E814" s="216"/>
      <c r="F814" s="217"/>
      <c r="G814" s="111">
        <f>SUM(G802:G813)</f>
        <v>140289</v>
      </c>
      <c r="H814" s="108"/>
      <c r="I814" s="3"/>
    </row>
    <row r="815" spans="1:9" x14ac:dyDescent="0.25">
      <c r="A815" s="224">
        <v>8</v>
      </c>
      <c r="B815" s="103" t="s">
        <v>150</v>
      </c>
      <c r="C815" s="148" t="s">
        <v>24</v>
      </c>
      <c r="D815" s="105">
        <v>46199</v>
      </c>
      <c r="E815" s="105">
        <v>46228</v>
      </c>
      <c r="F815" s="111">
        <f>G702</f>
        <v>31530</v>
      </c>
      <c r="G815" s="112">
        <f>+F815</f>
        <v>31530</v>
      </c>
      <c r="H815" s="108">
        <f t="shared" ref="H815:H819" si="56">E815-D815+1</f>
        <v>30</v>
      </c>
      <c r="I815" s="3"/>
    </row>
    <row r="816" spans="1:9" x14ac:dyDescent="0.25">
      <c r="A816" s="230"/>
      <c r="B816" s="103" t="s">
        <v>150</v>
      </c>
      <c r="C816" s="148" t="s">
        <v>24</v>
      </c>
      <c r="D816" s="109">
        <v>46206</v>
      </c>
      <c r="E816" s="105">
        <v>46228</v>
      </c>
      <c r="F816" s="135"/>
      <c r="G816" s="112">
        <v>-630</v>
      </c>
      <c r="H816" s="108">
        <f t="shared" si="56"/>
        <v>23</v>
      </c>
      <c r="I816" s="3"/>
    </row>
    <row r="817" spans="1:10" x14ac:dyDescent="0.25">
      <c r="A817" s="230"/>
      <c r="B817" s="103" t="s">
        <v>150</v>
      </c>
      <c r="C817" s="148" t="s">
        <v>24</v>
      </c>
      <c r="D817" s="109">
        <v>46208</v>
      </c>
      <c r="E817" s="105">
        <v>46228</v>
      </c>
      <c r="F817" s="135"/>
      <c r="G817" s="112">
        <v>-910</v>
      </c>
      <c r="H817" s="108">
        <f t="shared" si="56"/>
        <v>21</v>
      </c>
      <c r="I817" s="3"/>
    </row>
    <row r="818" spans="1:10" x14ac:dyDescent="0.25">
      <c r="A818" s="230"/>
      <c r="B818" s="103" t="s">
        <v>150</v>
      </c>
      <c r="C818" s="152" t="s">
        <v>24</v>
      </c>
      <c r="D818" s="109">
        <v>46213</v>
      </c>
      <c r="E818" s="105">
        <v>46228</v>
      </c>
      <c r="F818" s="135"/>
      <c r="G818" s="112">
        <v>-1300</v>
      </c>
      <c r="H818" s="108">
        <f t="shared" si="56"/>
        <v>16</v>
      </c>
      <c r="I818" s="3"/>
    </row>
    <row r="819" spans="1:10" x14ac:dyDescent="0.25">
      <c r="A819" s="230"/>
      <c r="B819" s="103" t="s">
        <v>150</v>
      </c>
      <c r="C819" s="152" t="s">
        <v>24</v>
      </c>
      <c r="D819" s="109">
        <v>46220</v>
      </c>
      <c r="E819" s="105">
        <v>46228</v>
      </c>
      <c r="F819" s="135"/>
      <c r="G819" s="112">
        <v>-1009</v>
      </c>
      <c r="H819" s="108">
        <f t="shared" si="56"/>
        <v>9</v>
      </c>
      <c r="I819" s="3"/>
    </row>
    <row r="820" spans="1:10" x14ac:dyDescent="0.25">
      <c r="A820" s="225"/>
      <c r="B820" s="215" t="s">
        <v>20</v>
      </c>
      <c r="C820" s="216"/>
      <c r="D820" s="216"/>
      <c r="E820" s="216"/>
      <c r="F820" s="217"/>
      <c r="G820" s="111">
        <f>SUM(G815:G819)</f>
        <v>27681</v>
      </c>
      <c r="H820" s="108"/>
      <c r="I820" s="3"/>
      <c r="J820" s="72">
        <f>G757+G767+G775+G787+G794+G801+G814+G820+G826+G829</f>
        <v>316701</v>
      </c>
    </row>
    <row r="821" spans="1:10" ht="17.25" x14ac:dyDescent="0.25">
      <c r="A821" s="224">
        <v>9</v>
      </c>
      <c r="B821" s="103" t="s">
        <v>151</v>
      </c>
      <c r="C821" s="148" t="s">
        <v>24</v>
      </c>
      <c r="D821" s="105">
        <v>46199</v>
      </c>
      <c r="E821" s="105">
        <v>46228</v>
      </c>
      <c r="F821" s="106">
        <f>G707</f>
        <v>29099</v>
      </c>
      <c r="G821" s="107">
        <f>+F821</f>
        <v>29099</v>
      </c>
      <c r="H821" s="108">
        <f t="shared" ref="H821:H824" si="57">E821-D821+1</f>
        <v>30</v>
      </c>
      <c r="I821" s="3"/>
      <c r="J821" s="1">
        <v>54</v>
      </c>
    </row>
    <row r="822" spans="1:10" ht="17.25" x14ac:dyDescent="0.25">
      <c r="A822" s="230"/>
      <c r="B822" s="103" t="s">
        <v>151</v>
      </c>
      <c r="C822" s="148" t="s">
        <v>24</v>
      </c>
      <c r="D822" s="105">
        <v>46206</v>
      </c>
      <c r="E822" s="105">
        <v>46228</v>
      </c>
      <c r="F822" s="106"/>
      <c r="G822" s="107">
        <v>-210</v>
      </c>
      <c r="H822" s="108">
        <f t="shared" si="57"/>
        <v>23</v>
      </c>
      <c r="I822" s="3"/>
      <c r="J822" s="72">
        <f>J820+J821</f>
        <v>316755</v>
      </c>
    </row>
    <row r="823" spans="1:10" ht="17.25" x14ac:dyDescent="0.25">
      <c r="A823" s="230"/>
      <c r="B823" s="103" t="s">
        <v>151</v>
      </c>
      <c r="C823" s="148" t="s">
        <v>24</v>
      </c>
      <c r="D823" s="105">
        <v>46208</v>
      </c>
      <c r="E823" s="105">
        <v>46228</v>
      </c>
      <c r="F823" s="106"/>
      <c r="G823" s="107">
        <v>-1726</v>
      </c>
      <c r="H823" s="108">
        <f t="shared" si="57"/>
        <v>21</v>
      </c>
      <c r="I823" s="3"/>
    </row>
    <row r="824" spans="1:10" ht="17.25" x14ac:dyDescent="0.25">
      <c r="A824" s="230"/>
      <c r="B824" s="103" t="s">
        <v>151</v>
      </c>
      <c r="C824" s="152" t="s">
        <v>24</v>
      </c>
      <c r="D824" s="109">
        <v>46213</v>
      </c>
      <c r="E824" s="105">
        <v>46228</v>
      </c>
      <c r="F824" s="110"/>
      <c r="G824" s="107">
        <v>-1300</v>
      </c>
      <c r="H824" s="108">
        <f t="shared" si="57"/>
        <v>16</v>
      </c>
      <c r="I824" s="3"/>
    </row>
    <row r="825" spans="1:10" ht="17.25" x14ac:dyDescent="0.25">
      <c r="A825" s="230"/>
      <c r="B825" s="103" t="s">
        <v>151</v>
      </c>
      <c r="C825" s="148" t="s">
        <v>24</v>
      </c>
      <c r="D825" s="109">
        <v>46224</v>
      </c>
      <c r="E825" s="105">
        <v>46228</v>
      </c>
      <c r="F825" s="110"/>
      <c r="G825" s="107">
        <v>-420</v>
      </c>
      <c r="H825" s="108">
        <f>E825-D825+1</f>
        <v>5</v>
      </c>
      <c r="I825" s="3"/>
    </row>
    <row r="826" spans="1:10" x14ac:dyDescent="0.25">
      <c r="A826" s="225"/>
      <c r="B826" s="215" t="s">
        <v>20</v>
      </c>
      <c r="C826" s="216"/>
      <c r="D826" s="216"/>
      <c r="E826" s="216"/>
      <c r="F826" s="217"/>
      <c r="G826" s="111">
        <f>SUM(G821:G825)</f>
        <v>25443</v>
      </c>
      <c r="H826" s="108"/>
      <c r="I826" s="3"/>
    </row>
    <row r="827" spans="1:10" ht="17.25" x14ac:dyDescent="0.25">
      <c r="A827" s="224">
        <v>10</v>
      </c>
      <c r="B827" s="103" t="s">
        <v>171</v>
      </c>
      <c r="C827" s="148" t="s">
        <v>24</v>
      </c>
      <c r="D827" s="105">
        <v>46199</v>
      </c>
      <c r="E827" s="105">
        <v>46228</v>
      </c>
      <c r="F827" s="106">
        <v>1000</v>
      </c>
      <c r="G827" s="107">
        <f>+F827</f>
        <v>1000</v>
      </c>
      <c r="H827" s="108">
        <f t="shared" ref="H827:H828" si="58">E827-D827+1</f>
        <v>30</v>
      </c>
      <c r="I827" s="3"/>
    </row>
    <row r="828" spans="1:10" ht="17.25" x14ac:dyDescent="0.25">
      <c r="A828" s="230"/>
      <c r="B828" s="103" t="s">
        <v>171</v>
      </c>
      <c r="C828" s="152" t="s">
        <v>24</v>
      </c>
      <c r="D828" s="109">
        <v>46216</v>
      </c>
      <c r="E828" s="105">
        <v>46228</v>
      </c>
      <c r="F828" s="110"/>
      <c r="G828" s="107">
        <v>-1000</v>
      </c>
      <c r="H828" s="108">
        <f t="shared" si="58"/>
        <v>13</v>
      </c>
      <c r="I828" s="3"/>
    </row>
    <row r="829" spans="1:10" x14ac:dyDescent="0.25">
      <c r="A829" s="225"/>
      <c r="B829" s="215" t="s">
        <v>20</v>
      </c>
      <c r="C829" s="216"/>
      <c r="D829" s="216"/>
      <c r="E829" s="216"/>
      <c r="F829" s="217"/>
      <c r="G829" s="111">
        <f>SUM(G827:G828)</f>
        <v>0</v>
      </c>
      <c r="H829" s="114"/>
      <c r="I829" s="3"/>
    </row>
    <row r="830" spans="1:10" x14ac:dyDescent="0.25">
      <c r="A830" s="146" t="str">
        <f>ROMAN(2,0)</f>
        <v>II</v>
      </c>
      <c r="B830" s="116" t="s">
        <v>56</v>
      </c>
      <c r="C830" s="149"/>
      <c r="D830" s="149"/>
      <c r="E830" s="149"/>
      <c r="F830" s="149"/>
      <c r="G830" s="111"/>
      <c r="H830" s="114"/>
      <c r="I830" s="8"/>
    </row>
    <row r="831" spans="1:10" ht="102" customHeight="1" x14ac:dyDescent="0.25">
      <c r="A831" s="147">
        <v>1</v>
      </c>
      <c r="B831" s="19" t="s">
        <v>58</v>
      </c>
      <c r="C831" s="148" t="s">
        <v>57</v>
      </c>
      <c r="D831" s="148"/>
      <c r="E831" s="149"/>
      <c r="F831" s="117">
        <v>65</v>
      </c>
      <c r="G831" s="117">
        <v>3</v>
      </c>
      <c r="H831" s="108"/>
      <c r="I831" s="151" t="s">
        <v>310</v>
      </c>
    </row>
    <row r="832" spans="1:10" ht="45.75" customHeight="1" x14ac:dyDescent="0.25">
      <c r="A832" s="147">
        <v>2</v>
      </c>
      <c r="B832" s="19" t="s">
        <v>73</v>
      </c>
      <c r="C832" s="148" t="s">
        <v>57</v>
      </c>
      <c r="D832" s="148"/>
      <c r="E832" s="149"/>
      <c r="F832" s="117">
        <v>1</v>
      </c>
      <c r="G832" s="117"/>
      <c r="H832" s="114"/>
      <c r="I832" s="23"/>
    </row>
    <row r="833" spans="1:9" x14ac:dyDescent="0.25">
      <c r="F833" s="84"/>
    </row>
    <row r="834" spans="1:9" x14ac:dyDescent="0.25">
      <c r="A834" s="5" t="s">
        <v>60</v>
      </c>
    </row>
    <row r="835" spans="1:9" x14ac:dyDescent="0.25">
      <c r="A835" s="236" t="s">
        <v>21</v>
      </c>
      <c r="B835" s="236"/>
      <c r="C835" s="236"/>
      <c r="D835" s="236"/>
      <c r="E835" s="236" t="s">
        <v>22</v>
      </c>
      <c r="F835" s="236"/>
      <c r="G835" s="236"/>
      <c r="H835" s="236"/>
      <c r="I835" s="236"/>
    </row>
    <row r="841" spans="1:9" ht="15.75" x14ac:dyDescent="0.25">
      <c r="A841" s="197" t="s">
        <v>1</v>
      </c>
      <c r="B841" s="197"/>
      <c r="C841" s="197"/>
      <c r="D841" s="197"/>
      <c r="E841" s="197"/>
      <c r="F841" s="197"/>
      <c r="G841" s="197"/>
      <c r="H841" s="197"/>
      <c r="I841" s="197"/>
    </row>
    <row r="842" spans="1:9" ht="15.75" x14ac:dyDescent="0.25">
      <c r="A842" s="197" t="s">
        <v>2</v>
      </c>
      <c r="B842" s="197"/>
      <c r="C842" s="197"/>
      <c r="D842" s="197"/>
      <c r="E842" s="197"/>
      <c r="F842" s="197"/>
      <c r="G842" s="197"/>
      <c r="H842" s="197"/>
      <c r="I842" s="197"/>
    </row>
    <row r="843" spans="1:9" ht="15" x14ac:dyDescent="0.25">
      <c r="A843" s="18"/>
      <c r="B843" s="18"/>
      <c r="C843" s="18"/>
      <c r="D843" s="18"/>
      <c r="E843" s="18"/>
      <c r="F843" s="18"/>
      <c r="G843" s="18"/>
      <c r="H843" s="18"/>
      <c r="I843" s="18"/>
    </row>
    <row r="844" spans="1:9" ht="20.25" x14ac:dyDescent="0.25">
      <c r="A844" s="204" t="s">
        <v>132</v>
      </c>
      <c r="B844" s="204"/>
      <c r="C844" s="204"/>
      <c r="D844" s="204"/>
      <c r="E844" s="204"/>
      <c r="F844" s="204"/>
      <c r="G844" s="204"/>
      <c r="H844" s="204"/>
      <c r="I844" s="204"/>
    </row>
    <row r="845" spans="1:9" ht="15.75" x14ac:dyDescent="0.25">
      <c r="A845" s="197" t="s">
        <v>312</v>
      </c>
      <c r="B845" s="197"/>
      <c r="C845" s="197"/>
      <c r="D845" s="197"/>
      <c r="E845" s="197"/>
      <c r="F845" s="197"/>
      <c r="G845" s="197"/>
      <c r="H845" s="197"/>
      <c r="I845" s="197"/>
    </row>
    <row r="846" spans="1:9" ht="15.75" x14ac:dyDescent="0.25">
      <c r="A846" s="155"/>
      <c r="B846" s="155"/>
      <c r="C846" s="155"/>
      <c r="D846" s="155"/>
      <c r="E846" s="155"/>
      <c r="F846" s="155"/>
      <c r="G846" s="155"/>
      <c r="H846" s="155"/>
      <c r="I846" s="155"/>
    </row>
    <row r="847" spans="1:9" x14ac:dyDescent="0.25">
      <c r="A847" s="219" t="str">
        <f>'Giá trị'!$A$7:$K$7</f>
        <v>- Căn cứ Hợp đồng kinh tế số 0412/HĐKT2025/TP-VIETPANEL ký ngày 04/12/2025 giữa Công ty TNHH xây dựng Việt Panel và Công ty Cổ phần Tập đoàn Thiết bị xây dựng TP về việc cho thuê thiết bị xây dựng.</v>
      </c>
      <c r="B847" s="219"/>
      <c r="C847" s="219"/>
      <c r="D847" s="219"/>
      <c r="E847" s="219"/>
      <c r="F847" s="219"/>
      <c r="G847" s="219"/>
      <c r="H847" s="219"/>
      <c r="I847" s="219"/>
    </row>
    <row r="848" spans="1:9" x14ac:dyDescent="0.25">
      <c r="A848" s="6" t="s">
        <v>51</v>
      </c>
      <c r="B848" s="5" t="str">
        <f>'Giá trị'!$B$8</f>
        <v>Senci</v>
      </c>
      <c r="C848" s="30"/>
      <c r="D848" s="30"/>
      <c r="E848" s="30"/>
    </row>
    <row r="849" spans="1:9" x14ac:dyDescent="0.25">
      <c r="A849" s="6" t="s">
        <v>59</v>
      </c>
      <c r="B849" s="6" t="str">
        <f>'Giá trị'!$B$9</f>
        <v>KCN Phúc Điền, Hải Dương</v>
      </c>
      <c r="C849" s="30"/>
      <c r="D849" s="30"/>
      <c r="E849" s="30"/>
    </row>
    <row r="850" spans="1:9" x14ac:dyDescent="0.25">
      <c r="A850" s="6" t="s">
        <v>3</v>
      </c>
      <c r="C850" s="30"/>
      <c r="D850" s="30"/>
      <c r="E850" s="30"/>
    </row>
    <row r="851" spans="1:9" x14ac:dyDescent="0.25">
      <c r="A851" s="5" t="s">
        <v>172</v>
      </c>
      <c r="C851" s="30"/>
      <c r="D851" s="30"/>
      <c r="E851" s="30"/>
    </row>
    <row r="852" spans="1:9" x14ac:dyDescent="0.25">
      <c r="A852" s="7" t="str">
        <f>'Giá trị'!$A$12</f>
        <v>BÊN THUÊ (BÊN A): CÔNG TY TNHH XÂY DỰNG VIỆT PANEL</v>
      </c>
      <c r="B852" s="7"/>
      <c r="C852" s="161"/>
      <c r="D852" s="161"/>
      <c r="E852" s="161"/>
      <c r="F852" s="7"/>
      <c r="G852" s="7"/>
      <c r="H852" s="7"/>
      <c r="I852" s="7"/>
    </row>
    <row r="853" spans="1:9" x14ac:dyDescent="0.25">
      <c r="A853" s="5" t="s">
        <v>125</v>
      </c>
      <c r="B853" s="5" t="str">
        <f>'Giá trị'!$B$13</f>
        <v>Thôn Đông Phù, Xã Tiên Du, Tỉnh Bắc Ninh, Việt Nam</v>
      </c>
      <c r="C853" s="30"/>
      <c r="D853" s="30"/>
      <c r="E853" s="30"/>
    </row>
    <row r="854" spans="1:9" x14ac:dyDescent="0.25">
      <c r="A854" s="5" t="s">
        <v>5</v>
      </c>
      <c r="C854" s="198" t="str">
        <f>'Giá trị'!$C$14:$D$14</f>
        <v>0222 6535 699</v>
      </c>
      <c r="D854" s="208"/>
    </row>
    <row r="855" spans="1:9" x14ac:dyDescent="0.25">
      <c r="A855" s="5" t="s">
        <v>4</v>
      </c>
      <c r="C855" s="209">
        <f>'Giá trị'!$C$15:$D$15</f>
        <v>616139999</v>
      </c>
      <c r="D855" s="209"/>
      <c r="E855" s="156" t="str">
        <f>'Giá trị'!$E$15</f>
        <v>Tại MB Ngân hàng quân đội</v>
      </c>
    </row>
    <row r="856" spans="1:9" x14ac:dyDescent="0.25">
      <c r="A856" s="5" t="s">
        <v>6</v>
      </c>
      <c r="B856" s="6"/>
      <c r="C856" s="198" t="str">
        <f>'Giá trị'!$C$16:$D$16</f>
        <v>2300856941</v>
      </c>
      <c r="D856" s="198"/>
      <c r="E856" s="6"/>
      <c r="F856" s="6"/>
    </row>
    <row r="857" spans="1:9" x14ac:dyDescent="0.25">
      <c r="A857" s="5" t="s">
        <v>7</v>
      </c>
      <c r="C857" s="7" t="str">
        <f>'Giá trị'!$C$17</f>
        <v>Ông Lưu Đình Cải</v>
      </c>
      <c r="D857" s="161"/>
      <c r="E857" s="5" t="str">
        <f>'Giá trị'!$E$17</f>
        <v>Chức vụ: Giám đốc</v>
      </c>
    </row>
    <row r="858" spans="1:9" x14ac:dyDescent="0.25">
      <c r="C858" s="30"/>
      <c r="D858" s="30"/>
      <c r="E858" s="30"/>
    </row>
    <row r="859" spans="1:9" x14ac:dyDescent="0.25">
      <c r="A859" s="7" t="s">
        <v>8</v>
      </c>
      <c r="B859" s="7"/>
      <c r="C859" s="161"/>
      <c r="D859" s="161"/>
      <c r="E859" s="161"/>
      <c r="F859" s="7"/>
      <c r="G859" s="7"/>
      <c r="H859" s="7"/>
      <c r="I859" s="7"/>
    </row>
    <row r="860" spans="1:9" x14ac:dyDescent="0.25">
      <c r="A860" s="5" t="s">
        <v>115</v>
      </c>
      <c r="C860" s="30"/>
      <c r="D860" s="30"/>
      <c r="E860" s="30"/>
    </row>
    <row r="861" spans="1:9" x14ac:dyDescent="0.25">
      <c r="A861" s="5" t="s">
        <v>5</v>
      </c>
      <c r="C861" s="6" t="s">
        <v>9</v>
      </c>
      <c r="D861" s="24"/>
      <c r="E861" s="30"/>
    </row>
    <row r="862" spans="1:9" x14ac:dyDescent="0.25">
      <c r="A862" s="5" t="s">
        <v>10</v>
      </c>
      <c r="C862" s="32" t="str">
        <f>'Giá trị'!$C$22</f>
        <v>8331100096008</v>
      </c>
      <c r="D862" s="17"/>
      <c r="E862" s="201" t="str">
        <f>$E$22</f>
        <v>Tại Ngân hàng Thương mại cổ phần Quân đội - Chi nhánh Hoàng Quốc Việt</v>
      </c>
      <c r="F862" s="201"/>
      <c r="G862" s="201"/>
      <c r="H862" s="201"/>
      <c r="I862" s="201"/>
    </row>
    <row r="863" spans="1:9" x14ac:dyDescent="0.25">
      <c r="A863" s="5" t="s">
        <v>6</v>
      </c>
      <c r="C863" s="6" t="s">
        <v>19</v>
      </c>
      <c r="D863" s="24"/>
      <c r="E863" s="156"/>
    </row>
    <row r="864" spans="1:9" x14ac:dyDescent="0.25">
      <c r="A864" s="5" t="s">
        <v>7</v>
      </c>
      <c r="C864" s="7" t="s">
        <v>116</v>
      </c>
      <c r="D864" s="161"/>
      <c r="E864" s="156" t="s">
        <v>117</v>
      </c>
    </row>
    <row r="865" spans="1:9" x14ac:dyDescent="0.25">
      <c r="C865" s="30"/>
      <c r="D865" s="30"/>
      <c r="E865" s="30"/>
    </row>
    <row r="866" spans="1:9" x14ac:dyDescent="0.25">
      <c r="A866" s="5" t="s">
        <v>313</v>
      </c>
      <c r="C866" s="30"/>
      <c r="D866" s="30"/>
      <c r="E866" s="30"/>
    </row>
    <row r="867" spans="1:9" ht="49.5" x14ac:dyDescent="0.25">
      <c r="A867" s="3" t="s">
        <v>12</v>
      </c>
      <c r="B867" s="133" t="s">
        <v>13</v>
      </c>
      <c r="C867" s="133" t="s">
        <v>23</v>
      </c>
      <c r="D867" s="133" t="s">
        <v>61</v>
      </c>
      <c r="E867" s="133" t="s">
        <v>14</v>
      </c>
      <c r="F867" s="133" t="s">
        <v>15</v>
      </c>
      <c r="G867" s="133" t="s">
        <v>16</v>
      </c>
      <c r="H867" s="133" t="s">
        <v>62</v>
      </c>
      <c r="I867" s="3" t="s">
        <v>18</v>
      </c>
    </row>
    <row r="868" spans="1:9" x14ac:dyDescent="0.25">
      <c r="A868" s="3" t="str">
        <f>ROMAN(1,0)</f>
        <v>I</v>
      </c>
      <c r="B868" s="134" t="s">
        <v>55</v>
      </c>
      <c r="C868" s="133"/>
      <c r="D868" s="133"/>
      <c r="E868" s="133"/>
      <c r="F868" s="133"/>
      <c r="G868" s="133"/>
      <c r="H868" s="133"/>
      <c r="I868" s="3"/>
    </row>
    <row r="869" spans="1:9" ht="17.25" x14ac:dyDescent="0.25">
      <c r="A869" s="229">
        <v>1</v>
      </c>
      <c r="B869" s="103" t="s">
        <v>148</v>
      </c>
      <c r="C869" s="159" t="s">
        <v>49</v>
      </c>
      <c r="D869" s="105">
        <v>46229</v>
      </c>
      <c r="E869" s="105">
        <v>46259</v>
      </c>
      <c r="F869" s="106">
        <f>G757</f>
        <v>16388</v>
      </c>
      <c r="G869" s="107">
        <f>+F869</f>
        <v>16388</v>
      </c>
      <c r="H869" s="108">
        <f>E869-D869+1</f>
        <v>31</v>
      </c>
      <c r="I869" s="3"/>
    </row>
    <row r="870" spans="1:9" ht="17.25" x14ac:dyDescent="0.25">
      <c r="A870" s="229"/>
      <c r="B870" s="103" t="s">
        <v>148</v>
      </c>
      <c r="C870" s="159" t="s">
        <v>49</v>
      </c>
      <c r="D870" s="109">
        <v>46237</v>
      </c>
      <c r="E870" s="105">
        <v>46259</v>
      </c>
      <c r="F870" s="110"/>
      <c r="G870" s="107">
        <v>-600</v>
      </c>
      <c r="H870" s="108">
        <f t="shared" ref="H870" si="59">E870-D870+1</f>
        <v>23</v>
      </c>
      <c r="I870" s="3"/>
    </row>
    <row r="871" spans="1:9" ht="17.25" x14ac:dyDescent="0.25">
      <c r="A871" s="229"/>
      <c r="B871" s="103" t="s">
        <v>148</v>
      </c>
      <c r="C871" s="159" t="s">
        <v>49</v>
      </c>
      <c r="D871" s="109">
        <v>46253</v>
      </c>
      <c r="E871" s="105">
        <v>46259</v>
      </c>
      <c r="F871" s="110"/>
      <c r="G871" s="107">
        <v>-200</v>
      </c>
      <c r="H871" s="108">
        <f>E871-D871+1</f>
        <v>7</v>
      </c>
      <c r="I871" s="3"/>
    </row>
    <row r="872" spans="1:9" ht="17.25" x14ac:dyDescent="0.25">
      <c r="A872" s="229"/>
      <c r="B872" s="103" t="s">
        <v>148</v>
      </c>
      <c r="C872" s="159" t="s">
        <v>49</v>
      </c>
      <c r="D872" s="109">
        <v>46254</v>
      </c>
      <c r="E872" s="105">
        <v>46259</v>
      </c>
      <c r="F872" s="110"/>
      <c r="G872" s="107">
        <v>-200</v>
      </c>
      <c r="H872" s="108">
        <f>E872-D872+1</f>
        <v>6</v>
      </c>
      <c r="I872" s="3"/>
    </row>
    <row r="873" spans="1:9" ht="17.25" x14ac:dyDescent="0.25">
      <c r="A873" s="229"/>
      <c r="B873" s="103" t="s">
        <v>148</v>
      </c>
      <c r="C873" s="176" t="s">
        <v>49</v>
      </c>
      <c r="D873" s="109">
        <v>46259</v>
      </c>
      <c r="E873" s="105">
        <v>46259</v>
      </c>
      <c r="F873" s="110"/>
      <c r="G873" s="107">
        <v>-200</v>
      </c>
      <c r="H873" s="108">
        <f>E873-D873+1</f>
        <v>1</v>
      </c>
      <c r="I873" s="3"/>
    </row>
    <row r="874" spans="1:9" x14ac:dyDescent="0.25">
      <c r="A874" s="229"/>
      <c r="B874" s="215" t="s">
        <v>20</v>
      </c>
      <c r="C874" s="216"/>
      <c r="D874" s="216"/>
      <c r="E874" s="216"/>
      <c r="F874" s="217"/>
      <c r="G874" s="111">
        <f>SUM(G869:G873)</f>
        <v>15188</v>
      </c>
      <c r="H874" s="108"/>
      <c r="I874" s="3"/>
    </row>
    <row r="875" spans="1:9" ht="17.25" x14ac:dyDescent="0.25">
      <c r="A875" s="224">
        <v>2</v>
      </c>
      <c r="B875" s="103" t="s">
        <v>122</v>
      </c>
      <c r="C875" s="159" t="s">
        <v>49</v>
      </c>
      <c r="D875" s="105">
        <v>46229</v>
      </c>
      <c r="E875" s="105">
        <v>46259</v>
      </c>
      <c r="F875" s="106">
        <f>G767</f>
        <v>25901</v>
      </c>
      <c r="G875" s="107">
        <f>+F875</f>
        <v>25901</v>
      </c>
      <c r="H875" s="108">
        <f t="shared" ref="H875:H878" si="60">E875-D875+1</f>
        <v>31</v>
      </c>
      <c r="I875" s="3"/>
    </row>
    <row r="876" spans="1:9" ht="17.25" x14ac:dyDescent="0.25">
      <c r="A876" s="230"/>
      <c r="B876" s="103" t="s">
        <v>122</v>
      </c>
      <c r="C876" s="159" t="s">
        <v>49</v>
      </c>
      <c r="D876" s="109">
        <v>46237</v>
      </c>
      <c r="E876" s="105">
        <v>46259</v>
      </c>
      <c r="F876" s="110"/>
      <c r="G876" s="107">
        <v>-800</v>
      </c>
      <c r="H876" s="108">
        <f t="shared" si="60"/>
        <v>23</v>
      </c>
      <c r="I876" s="3"/>
    </row>
    <row r="877" spans="1:9" ht="17.25" x14ac:dyDescent="0.25">
      <c r="A877" s="230"/>
      <c r="B877" s="103" t="s">
        <v>122</v>
      </c>
      <c r="C877" s="159" t="s">
        <v>49</v>
      </c>
      <c r="D877" s="109">
        <v>46253</v>
      </c>
      <c r="E877" s="105">
        <v>46259</v>
      </c>
      <c r="F877" s="110"/>
      <c r="G877" s="107">
        <v>-400</v>
      </c>
      <c r="H877" s="108">
        <f t="shared" si="60"/>
        <v>7</v>
      </c>
      <c r="I877" s="3"/>
    </row>
    <row r="878" spans="1:9" ht="17.25" x14ac:dyDescent="0.25">
      <c r="A878" s="230"/>
      <c r="B878" s="103" t="s">
        <v>122</v>
      </c>
      <c r="C878" s="159" t="s">
        <v>49</v>
      </c>
      <c r="D878" s="109">
        <v>46254</v>
      </c>
      <c r="E878" s="105">
        <v>46259</v>
      </c>
      <c r="F878" s="110"/>
      <c r="G878" s="107">
        <v>-500</v>
      </c>
      <c r="H878" s="108">
        <f t="shared" si="60"/>
        <v>6</v>
      </c>
      <c r="I878" s="3"/>
    </row>
    <row r="879" spans="1:9" ht="17.25" x14ac:dyDescent="0.25">
      <c r="A879" s="230"/>
      <c r="B879" s="103" t="s">
        <v>122</v>
      </c>
      <c r="C879" s="176" t="s">
        <v>49</v>
      </c>
      <c r="D879" s="109">
        <v>46259</v>
      </c>
      <c r="E879" s="105">
        <v>46259</v>
      </c>
      <c r="F879" s="110"/>
      <c r="G879" s="107">
        <v>-300</v>
      </c>
      <c r="H879" s="108">
        <f t="shared" ref="H879" si="61">E879-D879+1</f>
        <v>1</v>
      </c>
      <c r="I879" s="3"/>
    </row>
    <row r="880" spans="1:9" x14ac:dyDescent="0.25">
      <c r="A880" s="225"/>
      <c r="B880" s="215" t="s">
        <v>20</v>
      </c>
      <c r="C880" s="216"/>
      <c r="D880" s="216"/>
      <c r="E880" s="216"/>
      <c r="F880" s="217"/>
      <c r="G880" s="111">
        <f>SUM(G875:G879)</f>
        <v>23901</v>
      </c>
      <c r="H880" s="108"/>
      <c r="I880" s="3"/>
    </row>
    <row r="881" spans="1:9" ht="17.25" x14ac:dyDescent="0.25">
      <c r="A881" s="224">
        <v>3</v>
      </c>
      <c r="B881" s="103" t="s">
        <v>118</v>
      </c>
      <c r="C881" s="159" t="s">
        <v>49</v>
      </c>
      <c r="D881" s="105">
        <v>46229</v>
      </c>
      <c r="E881" s="105">
        <v>46259</v>
      </c>
      <c r="F881" s="106">
        <f>G775</f>
        <v>7000</v>
      </c>
      <c r="G881" s="107">
        <f>+F881</f>
        <v>7000</v>
      </c>
      <c r="H881" s="108">
        <f t="shared" ref="H881:H883" si="62">E881-D881+1</f>
        <v>31</v>
      </c>
      <c r="I881" s="3"/>
    </row>
    <row r="882" spans="1:9" ht="17.25" x14ac:dyDescent="0.25">
      <c r="A882" s="230"/>
      <c r="B882" s="103" t="s">
        <v>118</v>
      </c>
      <c r="C882" s="159" t="s">
        <v>49</v>
      </c>
      <c r="D882" s="109">
        <v>46253</v>
      </c>
      <c r="E882" s="105">
        <v>46259</v>
      </c>
      <c r="F882" s="110"/>
      <c r="G882" s="107">
        <v>-600</v>
      </c>
      <c r="H882" s="108">
        <f t="shared" si="62"/>
        <v>7</v>
      </c>
      <c r="I882" s="3"/>
    </row>
    <row r="883" spans="1:9" ht="17.25" x14ac:dyDescent="0.25">
      <c r="A883" s="230"/>
      <c r="B883" s="103" t="s">
        <v>118</v>
      </c>
      <c r="C883" s="159" t="s">
        <v>49</v>
      </c>
      <c r="D883" s="109">
        <v>46254</v>
      </c>
      <c r="E883" s="105">
        <v>46259</v>
      </c>
      <c r="F883" s="110"/>
      <c r="G883" s="107">
        <v>-300</v>
      </c>
      <c r="H883" s="108">
        <f t="shared" si="62"/>
        <v>6</v>
      </c>
      <c r="I883" s="3"/>
    </row>
    <row r="884" spans="1:9" ht="17.25" x14ac:dyDescent="0.25">
      <c r="A884" s="230"/>
      <c r="B884" s="103" t="s">
        <v>118</v>
      </c>
      <c r="C884" s="176" t="s">
        <v>49</v>
      </c>
      <c r="D884" s="109">
        <v>46259</v>
      </c>
      <c r="E884" s="105">
        <v>46259</v>
      </c>
      <c r="F884" s="110"/>
      <c r="G884" s="107">
        <v>-100</v>
      </c>
      <c r="H884" s="108">
        <f t="shared" ref="H884" si="63">E884-D884+1</f>
        <v>1</v>
      </c>
      <c r="I884" s="3"/>
    </row>
    <row r="885" spans="1:9" x14ac:dyDescent="0.25">
      <c r="A885" s="225"/>
      <c r="B885" s="215" t="s">
        <v>20</v>
      </c>
      <c r="C885" s="216"/>
      <c r="D885" s="216"/>
      <c r="E885" s="216"/>
      <c r="F885" s="217"/>
      <c r="G885" s="111">
        <f>SUM(G881:G884)</f>
        <v>6000</v>
      </c>
      <c r="H885" s="108"/>
      <c r="I885" s="3"/>
    </row>
    <row r="886" spans="1:9" ht="17.25" x14ac:dyDescent="0.25">
      <c r="A886" s="224">
        <v>4</v>
      </c>
      <c r="B886" s="103" t="s">
        <v>50</v>
      </c>
      <c r="C886" s="159" t="s">
        <v>49</v>
      </c>
      <c r="D886" s="105">
        <v>46229</v>
      </c>
      <c r="E886" s="105">
        <v>46259</v>
      </c>
      <c r="F886" s="106">
        <f>G787</f>
        <v>26754</v>
      </c>
      <c r="G886" s="107">
        <f>+F886</f>
        <v>26754</v>
      </c>
      <c r="H886" s="108">
        <f t="shared" ref="H886:H889" si="64">E886-D886+1</f>
        <v>31</v>
      </c>
      <c r="I886" s="3"/>
    </row>
    <row r="887" spans="1:9" ht="17.25" x14ac:dyDescent="0.25">
      <c r="A887" s="230"/>
      <c r="B887" s="103" t="s">
        <v>50</v>
      </c>
      <c r="C887" s="159" t="s">
        <v>49</v>
      </c>
      <c r="D887" s="109">
        <v>46237</v>
      </c>
      <c r="E887" s="105">
        <v>46259</v>
      </c>
      <c r="F887" s="106"/>
      <c r="G887" s="107">
        <v>-400</v>
      </c>
      <c r="H887" s="108">
        <f t="shared" si="64"/>
        <v>23</v>
      </c>
      <c r="I887" s="3"/>
    </row>
    <row r="888" spans="1:9" ht="17.25" x14ac:dyDescent="0.25">
      <c r="A888" s="230"/>
      <c r="B888" s="103" t="s">
        <v>50</v>
      </c>
      <c r="C888" s="159" t="s">
        <v>49</v>
      </c>
      <c r="D888" s="109">
        <v>46253</v>
      </c>
      <c r="E888" s="105">
        <v>46259</v>
      </c>
      <c r="F888" s="106"/>
      <c r="G888" s="107">
        <v>-700</v>
      </c>
      <c r="H888" s="108">
        <f t="shared" si="64"/>
        <v>7</v>
      </c>
      <c r="I888" s="3"/>
    </row>
    <row r="889" spans="1:9" ht="17.25" x14ac:dyDescent="0.25">
      <c r="A889" s="230"/>
      <c r="B889" s="103" t="s">
        <v>50</v>
      </c>
      <c r="C889" s="159" t="s">
        <v>49</v>
      </c>
      <c r="D889" s="109">
        <v>46254</v>
      </c>
      <c r="E889" s="105">
        <v>46259</v>
      </c>
      <c r="F889" s="106"/>
      <c r="G889" s="107">
        <v>-500</v>
      </c>
      <c r="H889" s="108">
        <f t="shared" si="64"/>
        <v>6</v>
      </c>
      <c r="I889" s="3"/>
    </row>
    <row r="890" spans="1:9" ht="17.25" x14ac:dyDescent="0.25">
      <c r="A890" s="230"/>
      <c r="B890" s="103" t="s">
        <v>50</v>
      </c>
      <c r="C890" s="176" t="s">
        <v>49</v>
      </c>
      <c r="D890" s="109">
        <v>46259</v>
      </c>
      <c r="E890" s="105">
        <v>46259</v>
      </c>
      <c r="F890" s="106"/>
      <c r="G890" s="107">
        <v>-800</v>
      </c>
      <c r="H890" s="108">
        <f t="shared" ref="H890" si="65">E890-D890+1</f>
        <v>1</v>
      </c>
      <c r="I890" s="3"/>
    </row>
    <row r="891" spans="1:9" x14ac:dyDescent="0.25">
      <c r="A891" s="225"/>
      <c r="B891" s="210" t="s">
        <v>20</v>
      </c>
      <c r="C891" s="210"/>
      <c r="D891" s="210"/>
      <c r="E891" s="210"/>
      <c r="F891" s="210"/>
      <c r="G891" s="111">
        <f>SUM(G886:G890)</f>
        <v>24354</v>
      </c>
      <c r="H891" s="108"/>
      <c r="I891" s="3"/>
    </row>
    <row r="892" spans="1:9" ht="17.25" x14ac:dyDescent="0.25">
      <c r="A892" s="224">
        <v>5</v>
      </c>
      <c r="B892" s="103" t="s">
        <v>126</v>
      </c>
      <c r="C892" s="159" t="s">
        <v>24</v>
      </c>
      <c r="D892" s="105">
        <v>46229</v>
      </c>
      <c r="E892" s="105">
        <v>46259</v>
      </c>
      <c r="F892" s="106">
        <f>G794</f>
        <v>27100</v>
      </c>
      <c r="G892" s="107">
        <f>+F892</f>
        <v>27100</v>
      </c>
      <c r="H892" s="108">
        <f>E892-D892+1</f>
        <v>31</v>
      </c>
      <c r="I892" s="3"/>
    </row>
    <row r="893" spans="1:9" ht="17.25" x14ac:dyDescent="0.25">
      <c r="A893" s="230"/>
      <c r="B893" s="103" t="s">
        <v>126</v>
      </c>
      <c r="C893" s="159" t="s">
        <v>24</v>
      </c>
      <c r="D893" s="109">
        <v>46237</v>
      </c>
      <c r="E893" s="105">
        <v>46259</v>
      </c>
      <c r="F893" s="106"/>
      <c r="G893" s="107">
        <v>-840</v>
      </c>
      <c r="H893" s="108">
        <f t="shared" ref="H893:H894" si="66">E893-D893+1</f>
        <v>23</v>
      </c>
      <c r="I893" s="3"/>
    </row>
    <row r="894" spans="1:9" ht="17.25" x14ac:dyDescent="0.25">
      <c r="A894" s="230"/>
      <c r="B894" s="103" t="s">
        <v>126</v>
      </c>
      <c r="C894" s="159" t="s">
        <v>24</v>
      </c>
      <c r="D894" s="109">
        <v>46253</v>
      </c>
      <c r="E894" s="105">
        <v>46259</v>
      </c>
      <c r="F894" s="106"/>
      <c r="G894" s="107">
        <v>-630</v>
      </c>
      <c r="H894" s="108">
        <f t="shared" si="66"/>
        <v>7</v>
      </c>
      <c r="I894" s="3"/>
    </row>
    <row r="895" spans="1:9" ht="17.25" x14ac:dyDescent="0.25">
      <c r="A895" s="230"/>
      <c r="B895" s="103" t="s">
        <v>126</v>
      </c>
      <c r="C895" s="176" t="s">
        <v>24</v>
      </c>
      <c r="D895" s="109">
        <v>46259</v>
      </c>
      <c r="E895" s="105">
        <v>46259</v>
      </c>
      <c r="F895" s="106"/>
      <c r="G895" s="107">
        <v>-420</v>
      </c>
      <c r="H895" s="108">
        <f t="shared" ref="H895" si="67">E895-D895+1</f>
        <v>1</v>
      </c>
      <c r="I895" s="3"/>
    </row>
    <row r="896" spans="1:9" x14ac:dyDescent="0.25">
      <c r="A896" s="225"/>
      <c r="B896" s="215" t="s">
        <v>20</v>
      </c>
      <c r="C896" s="216"/>
      <c r="D896" s="216"/>
      <c r="E896" s="216"/>
      <c r="F896" s="217"/>
      <c r="G896" s="111">
        <f>SUM(G892:G895)</f>
        <v>25210</v>
      </c>
      <c r="H896" s="108"/>
      <c r="I896" s="3"/>
    </row>
    <row r="897" spans="1:9" ht="17.25" x14ac:dyDescent="0.25">
      <c r="A897" s="224">
        <v>6</v>
      </c>
      <c r="B897" s="103" t="s">
        <v>149</v>
      </c>
      <c r="C897" s="159" t="s">
        <v>24</v>
      </c>
      <c r="D897" s="105">
        <v>46229</v>
      </c>
      <c r="E897" s="105">
        <v>46259</v>
      </c>
      <c r="F897" s="106">
        <f>G801</f>
        <v>20145</v>
      </c>
      <c r="G897" s="107">
        <f>+F897</f>
        <v>20145</v>
      </c>
      <c r="H897" s="108">
        <f t="shared" ref="H897:H898" si="68">E897-D897+1</f>
        <v>31</v>
      </c>
      <c r="I897" s="3"/>
    </row>
    <row r="898" spans="1:9" ht="17.25" x14ac:dyDescent="0.25">
      <c r="A898" s="230"/>
      <c r="B898" s="103" t="s">
        <v>149</v>
      </c>
      <c r="C898" s="159" t="s">
        <v>24</v>
      </c>
      <c r="D898" s="109">
        <v>46237</v>
      </c>
      <c r="E898" s="105">
        <v>46259</v>
      </c>
      <c r="F898" s="110"/>
      <c r="G898" s="107">
        <v>-336</v>
      </c>
      <c r="H898" s="108">
        <f t="shared" si="68"/>
        <v>23</v>
      </c>
      <c r="I898" s="3"/>
    </row>
    <row r="899" spans="1:9" ht="17.25" x14ac:dyDescent="0.25">
      <c r="A899" s="230"/>
      <c r="B899" s="103" t="s">
        <v>149</v>
      </c>
      <c r="C899" s="176" t="s">
        <v>24</v>
      </c>
      <c r="D899" s="109">
        <v>46259</v>
      </c>
      <c r="E899" s="105">
        <v>46259</v>
      </c>
      <c r="F899" s="110"/>
      <c r="G899" s="107">
        <v>-1008</v>
      </c>
      <c r="H899" s="108">
        <f t="shared" ref="H899" si="69">E899-D899+1</f>
        <v>1</v>
      </c>
      <c r="I899" s="3"/>
    </row>
    <row r="900" spans="1:9" x14ac:dyDescent="0.25">
      <c r="A900" s="225"/>
      <c r="B900" s="215" t="s">
        <v>20</v>
      </c>
      <c r="C900" s="216"/>
      <c r="D900" s="216"/>
      <c r="E900" s="216"/>
      <c r="F900" s="217"/>
      <c r="G900" s="111">
        <f>SUM(G897:G899)</f>
        <v>18801</v>
      </c>
      <c r="H900" s="108"/>
      <c r="I900" s="3"/>
    </row>
    <row r="901" spans="1:9" ht="17.25" x14ac:dyDescent="0.25">
      <c r="A901" s="224">
        <v>7</v>
      </c>
      <c r="B901" s="103" t="s">
        <v>0</v>
      </c>
      <c r="C901" s="159" t="s">
        <v>24</v>
      </c>
      <c r="D901" s="105">
        <v>46229</v>
      </c>
      <c r="E901" s="105">
        <v>46259</v>
      </c>
      <c r="F901" s="106">
        <f>G814</f>
        <v>140289</v>
      </c>
      <c r="G901" s="107">
        <f>+F901</f>
        <v>140289</v>
      </c>
      <c r="H901" s="108">
        <f t="shared" ref="H901:H904" si="70">E901-D901+1</f>
        <v>31</v>
      </c>
      <c r="I901" s="3"/>
    </row>
    <row r="902" spans="1:9" ht="17.25" x14ac:dyDescent="0.25">
      <c r="A902" s="230"/>
      <c r="B902" s="103" t="s">
        <v>0</v>
      </c>
      <c r="C902" s="159" t="s">
        <v>24</v>
      </c>
      <c r="D902" s="109">
        <v>46237</v>
      </c>
      <c r="E902" s="105">
        <v>46259</v>
      </c>
      <c r="F902" s="110"/>
      <c r="G902" s="107">
        <v>-2310</v>
      </c>
      <c r="H902" s="108">
        <f t="shared" si="70"/>
        <v>23</v>
      </c>
      <c r="I902" s="3"/>
    </row>
    <row r="903" spans="1:9" ht="17.25" x14ac:dyDescent="0.25">
      <c r="A903" s="230"/>
      <c r="B903" s="103" t="s">
        <v>0</v>
      </c>
      <c r="C903" s="159" t="s">
        <v>24</v>
      </c>
      <c r="D903" s="109">
        <v>46253</v>
      </c>
      <c r="E903" s="105">
        <v>46259</v>
      </c>
      <c r="F903" s="110"/>
      <c r="G903" s="107">
        <v>-3696</v>
      </c>
      <c r="H903" s="108">
        <f t="shared" si="70"/>
        <v>7</v>
      </c>
      <c r="I903" s="3"/>
    </row>
    <row r="904" spans="1:9" ht="17.25" x14ac:dyDescent="0.25">
      <c r="A904" s="230"/>
      <c r="B904" s="103" t="s">
        <v>0</v>
      </c>
      <c r="C904" s="159" t="s">
        <v>24</v>
      </c>
      <c r="D904" s="109">
        <v>46254</v>
      </c>
      <c r="E904" s="105">
        <v>46259</v>
      </c>
      <c r="F904" s="110"/>
      <c r="G904" s="107">
        <v>-6468</v>
      </c>
      <c r="H904" s="108">
        <f t="shared" si="70"/>
        <v>6</v>
      </c>
      <c r="I904" s="3"/>
    </row>
    <row r="905" spans="1:9" ht="17.25" x14ac:dyDescent="0.25">
      <c r="A905" s="230"/>
      <c r="B905" s="103" t="s">
        <v>0</v>
      </c>
      <c r="C905" s="176" t="s">
        <v>24</v>
      </c>
      <c r="D905" s="109">
        <v>46259</v>
      </c>
      <c r="E905" s="105">
        <v>46259</v>
      </c>
      <c r="F905" s="110"/>
      <c r="G905" s="107">
        <v>-4620</v>
      </c>
      <c r="H905" s="108">
        <f t="shared" ref="H905" si="71">E905-D905+1</f>
        <v>1</v>
      </c>
      <c r="I905" s="3"/>
    </row>
    <row r="906" spans="1:9" x14ac:dyDescent="0.25">
      <c r="A906" s="225"/>
      <c r="B906" s="215" t="s">
        <v>20</v>
      </c>
      <c r="C906" s="216"/>
      <c r="D906" s="216"/>
      <c r="E906" s="216"/>
      <c r="F906" s="217"/>
      <c r="G906" s="111">
        <f>SUM(G901:G905)</f>
        <v>123195</v>
      </c>
      <c r="H906" s="108"/>
      <c r="I906" s="3"/>
    </row>
    <row r="907" spans="1:9" x14ac:dyDescent="0.25">
      <c r="A907" s="224">
        <v>8</v>
      </c>
      <c r="B907" s="103" t="s">
        <v>150</v>
      </c>
      <c r="C907" s="159" t="s">
        <v>24</v>
      </c>
      <c r="D907" s="105">
        <v>46229</v>
      </c>
      <c r="E907" s="105">
        <v>46259</v>
      </c>
      <c r="F907" s="111">
        <f>G820</f>
        <v>27681</v>
      </c>
      <c r="G907" s="112">
        <f>+F907</f>
        <v>27681</v>
      </c>
      <c r="H907" s="108">
        <f t="shared" ref="H907:H909" si="72">E907-D907+1</f>
        <v>31</v>
      </c>
      <c r="I907" s="3"/>
    </row>
    <row r="908" spans="1:9" x14ac:dyDescent="0.25">
      <c r="A908" s="230"/>
      <c r="B908" s="103" t="s">
        <v>150</v>
      </c>
      <c r="C908" s="159" t="s">
        <v>24</v>
      </c>
      <c r="D908" s="109">
        <v>46237</v>
      </c>
      <c r="E908" s="105">
        <v>46259</v>
      </c>
      <c r="F908" s="135"/>
      <c r="G908" s="112">
        <v>-960</v>
      </c>
      <c r="H908" s="108">
        <f t="shared" si="72"/>
        <v>23</v>
      </c>
      <c r="I908" s="3"/>
    </row>
    <row r="909" spans="1:9" x14ac:dyDescent="0.25">
      <c r="A909" s="230"/>
      <c r="B909" s="103" t="s">
        <v>150</v>
      </c>
      <c r="C909" s="159" t="s">
        <v>24</v>
      </c>
      <c r="D909" s="109">
        <v>46254</v>
      </c>
      <c r="E909" s="105">
        <v>46259</v>
      </c>
      <c r="F909" s="135"/>
      <c r="G909" s="112">
        <v>-480</v>
      </c>
      <c r="H909" s="108">
        <f t="shared" si="72"/>
        <v>6</v>
      </c>
      <c r="I909" s="3"/>
    </row>
    <row r="910" spans="1:9" x14ac:dyDescent="0.25">
      <c r="A910" s="230"/>
      <c r="B910" s="103" t="s">
        <v>150</v>
      </c>
      <c r="C910" s="176" t="s">
        <v>24</v>
      </c>
      <c r="D910" s="109">
        <v>46259</v>
      </c>
      <c r="E910" s="105">
        <v>46259</v>
      </c>
      <c r="F910" s="135"/>
      <c r="G910" s="112">
        <v>-460</v>
      </c>
      <c r="H910" s="108">
        <f t="shared" ref="H910" si="73">E910-D910+1</f>
        <v>1</v>
      </c>
      <c r="I910" s="3"/>
    </row>
    <row r="911" spans="1:9" x14ac:dyDescent="0.25">
      <c r="A911" s="225"/>
      <c r="B911" s="215" t="s">
        <v>20</v>
      </c>
      <c r="C911" s="216"/>
      <c r="D911" s="216"/>
      <c r="E911" s="216"/>
      <c r="F911" s="217"/>
      <c r="G911" s="111">
        <f>SUM(G907:G910)</f>
        <v>25781</v>
      </c>
      <c r="H911" s="108"/>
      <c r="I911" s="3"/>
    </row>
    <row r="912" spans="1:9" ht="17.25" x14ac:dyDescent="0.25">
      <c r="A912" s="224">
        <v>9</v>
      </c>
      <c r="B912" s="103" t="s">
        <v>151</v>
      </c>
      <c r="C912" s="159" t="s">
        <v>24</v>
      </c>
      <c r="D912" s="105">
        <v>46229</v>
      </c>
      <c r="E912" s="105">
        <v>46259</v>
      </c>
      <c r="F912" s="106">
        <f>G826</f>
        <v>25443</v>
      </c>
      <c r="G912" s="107">
        <f>+F912</f>
        <v>25443</v>
      </c>
      <c r="H912" s="108">
        <f t="shared" ref="H912:H913" si="74">E912-D912+1</f>
        <v>31</v>
      </c>
      <c r="I912" s="3"/>
    </row>
    <row r="913" spans="1:9" ht="17.25" x14ac:dyDescent="0.25">
      <c r="A913" s="230"/>
      <c r="B913" s="103" t="s">
        <v>151</v>
      </c>
      <c r="C913" s="159" t="s">
        <v>24</v>
      </c>
      <c r="D913" s="109">
        <v>46237</v>
      </c>
      <c r="E913" s="105">
        <v>46259</v>
      </c>
      <c r="F913" s="106"/>
      <c r="G913" s="107">
        <v>-420</v>
      </c>
      <c r="H913" s="108">
        <f t="shared" si="74"/>
        <v>23</v>
      </c>
      <c r="I913" s="3"/>
    </row>
    <row r="914" spans="1:9" ht="17.25" x14ac:dyDescent="0.25">
      <c r="A914" s="230"/>
      <c r="B914" s="103" t="s">
        <v>151</v>
      </c>
      <c r="C914" s="176" t="s">
        <v>24</v>
      </c>
      <c r="D914" s="109">
        <v>46259</v>
      </c>
      <c r="E914" s="105">
        <v>46259</v>
      </c>
      <c r="F914" s="106"/>
      <c r="G914" s="107">
        <v>-690</v>
      </c>
      <c r="H914" s="108">
        <f t="shared" ref="H914" si="75">E914-D914+1</f>
        <v>1</v>
      </c>
      <c r="I914" s="3"/>
    </row>
    <row r="915" spans="1:9" x14ac:dyDescent="0.25">
      <c r="A915" s="225"/>
      <c r="B915" s="215" t="s">
        <v>20</v>
      </c>
      <c r="C915" s="216"/>
      <c r="D915" s="216"/>
      <c r="E915" s="216"/>
      <c r="F915" s="217"/>
      <c r="G915" s="111">
        <f>SUM(G912:G914)</f>
        <v>24333</v>
      </c>
      <c r="H915" s="108"/>
      <c r="I915" s="3"/>
    </row>
    <row r="916" spans="1:9" x14ac:dyDescent="0.25">
      <c r="A916" s="158" t="str">
        <f>ROMAN(2,0)</f>
        <v>II</v>
      </c>
      <c r="B916" s="116" t="s">
        <v>56</v>
      </c>
      <c r="C916" s="157"/>
      <c r="D916" s="157"/>
      <c r="E916" s="157"/>
      <c r="F916" s="157"/>
      <c r="G916" s="111"/>
      <c r="H916" s="114"/>
      <c r="I916" s="8"/>
    </row>
    <row r="917" spans="1:9" x14ac:dyDescent="0.25">
      <c r="A917" s="160">
        <v>1</v>
      </c>
      <c r="B917" s="19" t="s">
        <v>58</v>
      </c>
      <c r="C917" s="159" t="s">
        <v>57</v>
      </c>
      <c r="D917" s="159"/>
      <c r="E917" s="157"/>
      <c r="F917" s="117">
        <v>68</v>
      </c>
      <c r="G917" s="117">
        <v>4</v>
      </c>
      <c r="H917" s="108"/>
      <c r="I917" s="151"/>
    </row>
    <row r="918" spans="1:9" x14ac:dyDescent="0.25">
      <c r="A918" s="160">
        <v>2</v>
      </c>
      <c r="B918" s="19" t="s">
        <v>73</v>
      </c>
      <c r="C918" s="159" t="s">
        <v>57</v>
      </c>
      <c r="D918" s="159"/>
      <c r="E918" s="157"/>
      <c r="F918" s="117">
        <v>1</v>
      </c>
      <c r="G918" s="117"/>
      <c r="H918" s="114"/>
      <c r="I918" s="23"/>
    </row>
    <row r="919" spans="1:9" x14ac:dyDescent="0.25">
      <c r="F919" s="84"/>
    </row>
    <row r="920" spans="1:9" x14ac:dyDescent="0.25">
      <c r="A920" s="5" t="s">
        <v>60</v>
      </c>
    </row>
    <row r="921" spans="1:9" x14ac:dyDescent="0.25">
      <c r="A921" s="236" t="s">
        <v>21</v>
      </c>
      <c r="B921" s="236"/>
      <c r="C921" s="236"/>
      <c r="D921" s="236"/>
      <c r="E921" s="236" t="s">
        <v>22</v>
      </c>
      <c r="F921" s="236"/>
      <c r="G921" s="236"/>
      <c r="H921" s="236"/>
      <c r="I921" s="236"/>
    </row>
  </sheetData>
  <autoFilter ref="A323:K378"/>
  <mergeCells count="276">
    <mergeCell ref="A921:D921"/>
    <mergeCell ref="E921:I921"/>
    <mergeCell ref="A897:A900"/>
    <mergeCell ref="B900:F900"/>
    <mergeCell ref="A901:A906"/>
    <mergeCell ref="B906:F906"/>
    <mergeCell ref="A907:A911"/>
    <mergeCell ref="B911:F911"/>
    <mergeCell ref="A912:A915"/>
    <mergeCell ref="B915:F915"/>
    <mergeCell ref="A869:A874"/>
    <mergeCell ref="B874:F874"/>
    <mergeCell ref="A875:A880"/>
    <mergeCell ref="B880:F880"/>
    <mergeCell ref="A881:A885"/>
    <mergeCell ref="B885:F885"/>
    <mergeCell ref="A886:A891"/>
    <mergeCell ref="B891:F891"/>
    <mergeCell ref="A892:A896"/>
    <mergeCell ref="B896:F896"/>
    <mergeCell ref="A841:I841"/>
    <mergeCell ref="A842:I842"/>
    <mergeCell ref="A844:I844"/>
    <mergeCell ref="A845:I845"/>
    <mergeCell ref="A847:I847"/>
    <mergeCell ref="C854:D854"/>
    <mergeCell ref="C855:D855"/>
    <mergeCell ref="C856:D856"/>
    <mergeCell ref="E862:I862"/>
    <mergeCell ref="A715:D715"/>
    <mergeCell ref="E715:I715"/>
    <mergeCell ref="A683:A685"/>
    <mergeCell ref="B685:F685"/>
    <mergeCell ref="A686:A698"/>
    <mergeCell ref="B698:F698"/>
    <mergeCell ref="A699:A702"/>
    <mergeCell ref="B702:F702"/>
    <mergeCell ref="A703:A707"/>
    <mergeCell ref="B707:F707"/>
    <mergeCell ref="A708:A709"/>
    <mergeCell ref="B709:F709"/>
    <mergeCell ref="A639:A647"/>
    <mergeCell ref="B647:F647"/>
    <mergeCell ref="A648:A657"/>
    <mergeCell ref="B657:F657"/>
    <mergeCell ref="A658:A665"/>
    <mergeCell ref="B665:F665"/>
    <mergeCell ref="A666:A677"/>
    <mergeCell ref="B677:F677"/>
    <mergeCell ref="A678:A682"/>
    <mergeCell ref="B682:F682"/>
    <mergeCell ref="A611:I611"/>
    <mergeCell ref="A612:I612"/>
    <mergeCell ref="A614:I614"/>
    <mergeCell ref="A615:I615"/>
    <mergeCell ref="A617:I617"/>
    <mergeCell ref="C624:D624"/>
    <mergeCell ref="C625:D625"/>
    <mergeCell ref="C626:D626"/>
    <mergeCell ref="E632:I632"/>
    <mergeCell ref="A605:D605"/>
    <mergeCell ref="E605:I605"/>
    <mergeCell ref="A580:A582"/>
    <mergeCell ref="B582:F582"/>
    <mergeCell ref="A583:A593"/>
    <mergeCell ref="B593:F593"/>
    <mergeCell ref="A594:A595"/>
    <mergeCell ref="B595:F595"/>
    <mergeCell ref="A596:A597"/>
    <mergeCell ref="B597:F597"/>
    <mergeCell ref="A598:A599"/>
    <mergeCell ref="B599:F599"/>
    <mergeCell ref="A539:A544"/>
    <mergeCell ref="B544:F544"/>
    <mergeCell ref="A545:A555"/>
    <mergeCell ref="B555:F555"/>
    <mergeCell ref="A556:A563"/>
    <mergeCell ref="B563:F563"/>
    <mergeCell ref="A564:A577"/>
    <mergeCell ref="B577:F577"/>
    <mergeCell ref="A578:A579"/>
    <mergeCell ref="B579:F579"/>
    <mergeCell ref="A511:I511"/>
    <mergeCell ref="A512:I512"/>
    <mergeCell ref="A514:I514"/>
    <mergeCell ref="A515:I515"/>
    <mergeCell ref="A517:I517"/>
    <mergeCell ref="C524:D524"/>
    <mergeCell ref="C525:D525"/>
    <mergeCell ref="C526:D526"/>
    <mergeCell ref="E532:I532"/>
    <mergeCell ref="A325:A326"/>
    <mergeCell ref="B326:F326"/>
    <mergeCell ref="B335:F335"/>
    <mergeCell ref="A336:A341"/>
    <mergeCell ref="B341:F341"/>
    <mergeCell ref="A342:A346"/>
    <mergeCell ref="B346:F346"/>
    <mergeCell ref="A381:D381"/>
    <mergeCell ref="E381:I381"/>
    <mergeCell ref="A365:A367"/>
    <mergeCell ref="B367:F367"/>
    <mergeCell ref="A368:A373"/>
    <mergeCell ref="B373:F373"/>
    <mergeCell ref="A374:A375"/>
    <mergeCell ref="B375:F375"/>
    <mergeCell ref="I325:I375"/>
    <mergeCell ref="A347:A350"/>
    <mergeCell ref="B350:F350"/>
    <mergeCell ref="A351:A355"/>
    <mergeCell ref="B355:F355"/>
    <mergeCell ref="A356:A364"/>
    <mergeCell ref="B364:F364"/>
    <mergeCell ref="A327:A335"/>
    <mergeCell ref="A297:I297"/>
    <mergeCell ref="A298:I298"/>
    <mergeCell ref="A300:I300"/>
    <mergeCell ref="A301:I301"/>
    <mergeCell ref="A303:I303"/>
    <mergeCell ref="C310:D310"/>
    <mergeCell ref="C311:D311"/>
    <mergeCell ref="C312:D312"/>
    <mergeCell ref="E318:I318"/>
    <mergeCell ref="A292:D292"/>
    <mergeCell ref="E292:I292"/>
    <mergeCell ref="A109:I109"/>
    <mergeCell ref="A110:I110"/>
    <mergeCell ref="A112:I112"/>
    <mergeCell ref="A113:I113"/>
    <mergeCell ref="A115:I115"/>
    <mergeCell ref="C122:D122"/>
    <mergeCell ref="C123:D123"/>
    <mergeCell ref="C124:D124"/>
    <mergeCell ref="E130:I130"/>
    <mergeCell ref="A285:A286"/>
    <mergeCell ref="B286:F286"/>
    <mergeCell ref="A220:A255"/>
    <mergeCell ref="B255:F255"/>
    <mergeCell ref="A256:A270"/>
    <mergeCell ref="A153:A173"/>
    <mergeCell ref="B173:F173"/>
    <mergeCell ref="A174:A175"/>
    <mergeCell ref="B175:F175"/>
    <mergeCell ref="B270:F270"/>
    <mergeCell ref="A271:A284"/>
    <mergeCell ref="B284:F284"/>
    <mergeCell ref="A176:A201"/>
    <mergeCell ref="B201:F201"/>
    <mergeCell ref="A202:A210"/>
    <mergeCell ref="B210:F210"/>
    <mergeCell ref="A211:A219"/>
    <mergeCell ref="B219:F219"/>
    <mergeCell ref="B98:F98"/>
    <mergeCell ref="A103:D103"/>
    <mergeCell ref="E103:I103"/>
    <mergeCell ref="A91:A98"/>
    <mergeCell ref="A66:A82"/>
    <mergeCell ref="B82:F82"/>
    <mergeCell ref="B90:F90"/>
    <mergeCell ref="A83:A90"/>
    <mergeCell ref="A137:A152"/>
    <mergeCell ref="B152:F152"/>
    <mergeCell ref="A33:A36"/>
    <mergeCell ref="B36:F36"/>
    <mergeCell ref="A37:A39"/>
    <mergeCell ref="B39:F39"/>
    <mergeCell ref="A40:A51"/>
    <mergeCell ref="B51:F51"/>
    <mergeCell ref="A52:A58"/>
    <mergeCell ref="B58:F58"/>
    <mergeCell ref="A59:A65"/>
    <mergeCell ref="B65:F65"/>
    <mergeCell ref="A1:I1"/>
    <mergeCell ref="A2:I2"/>
    <mergeCell ref="A4:I4"/>
    <mergeCell ref="A5:I5"/>
    <mergeCell ref="A29:A32"/>
    <mergeCell ref="B32:F32"/>
    <mergeCell ref="C14:D14"/>
    <mergeCell ref="C15:D15"/>
    <mergeCell ref="C16:D16"/>
    <mergeCell ref="E22:I22"/>
    <mergeCell ref="A7:I7"/>
    <mergeCell ref="A427:A428"/>
    <mergeCell ref="B428:F428"/>
    <mergeCell ref="A429:A430"/>
    <mergeCell ref="B430:F430"/>
    <mergeCell ref="A431:A432"/>
    <mergeCell ref="A387:I387"/>
    <mergeCell ref="A388:I388"/>
    <mergeCell ref="A390:I390"/>
    <mergeCell ref="A391:I391"/>
    <mergeCell ref="A393:I393"/>
    <mergeCell ref="C400:D400"/>
    <mergeCell ref="C401:D401"/>
    <mergeCell ref="C402:D402"/>
    <mergeCell ref="E408:I408"/>
    <mergeCell ref="A415:A416"/>
    <mergeCell ref="B416:F416"/>
    <mergeCell ref="A417:A420"/>
    <mergeCell ref="B420:F420"/>
    <mergeCell ref="A421:A426"/>
    <mergeCell ref="B426:F426"/>
    <mergeCell ref="A438:A439"/>
    <mergeCell ref="B439:F439"/>
    <mergeCell ref="A440:A441"/>
    <mergeCell ref="B441:F441"/>
    <mergeCell ref="A447:D447"/>
    <mergeCell ref="E447:I447"/>
    <mergeCell ref="B432:F432"/>
    <mergeCell ref="A433:A435"/>
    <mergeCell ref="B435:F435"/>
    <mergeCell ref="A436:A437"/>
    <mergeCell ref="B437:F437"/>
    <mergeCell ref="A452:I452"/>
    <mergeCell ref="A453:I453"/>
    <mergeCell ref="A455:I455"/>
    <mergeCell ref="A456:I456"/>
    <mergeCell ref="A458:I458"/>
    <mergeCell ref="C465:D465"/>
    <mergeCell ref="C466:D466"/>
    <mergeCell ref="C467:D467"/>
    <mergeCell ref="E473:I473"/>
    <mergeCell ref="A480:A481"/>
    <mergeCell ref="B481:F481"/>
    <mergeCell ref="A482:A483"/>
    <mergeCell ref="B483:F483"/>
    <mergeCell ref="A484:A485"/>
    <mergeCell ref="B485:F485"/>
    <mergeCell ref="A486:A487"/>
    <mergeCell ref="B487:F487"/>
    <mergeCell ref="A488:A489"/>
    <mergeCell ref="B489:F489"/>
    <mergeCell ref="A505:D505"/>
    <mergeCell ref="E505:I505"/>
    <mergeCell ref="A490:A491"/>
    <mergeCell ref="B491:F491"/>
    <mergeCell ref="A492:A493"/>
    <mergeCell ref="B493:F493"/>
    <mergeCell ref="A494:A495"/>
    <mergeCell ref="B495:F495"/>
    <mergeCell ref="A496:A497"/>
    <mergeCell ref="B497:F497"/>
    <mergeCell ref="A498:A499"/>
    <mergeCell ref="B499:F499"/>
    <mergeCell ref="A721:I721"/>
    <mergeCell ref="A722:I722"/>
    <mergeCell ref="A724:I724"/>
    <mergeCell ref="A725:I725"/>
    <mergeCell ref="A727:I727"/>
    <mergeCell ref="C734:D734"/>
    <mergeCell ref="C735:D735"/>
    <mergeCell ref="C736:D736"/>
    <mergeCell ref="E742:I742"/>
    <mergeCell ref="A749:A757"/>
    <mergeCell ref="B757:F757"/>
    <mergeCell ref="A758:A767"/>
    <mergeCell ref="B767:F767"/>
    <mergeCell ref="A768:A775"/>
    <mergeCell ref="B775:F775"/>
    <mergeCell ref="A776:A787"/>
    <mergeCell ref="B787:F787"/>
    <mergeCell ref="A788:A794"/>
    <mergeCell ref="B794:F794"/>
    <mergeCell ref="A835:D835"/>
    <mergeCell ref="E835:I835"/>
    <mergeCell ref="A795:A801"/>
    <mergeCell ref="B801:F801"/>
    <mergeCell ref="A802:A814"/>
    <mergeCell ref="B814:F814"/>
    <mergeCell ref="A815:A820"/>
    <mergeCell ref="B820:F820"/>
    <mergeCell ref="A821:A826"/>
    <mergeCell ref="B826:F826"/>
    <mergeCell ref="A827:A829"/>
    <mergeCell ref="B829:F829"/>
  </mergeCells>
  <phoneticPr fontId="21" type="noConversion"/>
  <pageMargins left="0.42" right="0.23622047244094491" top="0.31496062992125984" bottom="0.31496062992125984" header="0.31496062992125984" footer="0.19685039370078741"/>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6"/>
  <sheetViews>
    <sheetView zoomScale="70" zoomScaleNormal="70" zoomScaleSheetLayoutView="85" workbookViewId="0">
      <selection activeCell="M67" sqref="M67"/>
    </sheetView>
  </sheetViews>
  <sheetFormatPr defaultColWidth="9.140625" defaultRowHeight="16.5" x14ac:dyDescent="0.25"/>
  <cols>
    <col min="1" max="1" width="9.85546875" style="53" customWidth="1"/>
    <col min="2" max="2" width="16.5703125" style="5" customWidth="1"/>
    <col min="3" max="3" width="30" style="5" customWidth="1"/>
    <col min="4" max="4" width="20.85546875" style="30" customWidth="1"/>
    <col min="5" max="5" width="16.28515625" style="30" customWidth="1"/>
    <col min="6" max="6" width="20" style="30" customWidth="1"/>
    <col min="7" max="7" width="13" style="1" bestFit="1" customWidth="1"/>
    <col min="8" max="16384" width="9.140625" style="1"/>
  </cols>
  <sheetData>
    <row r="1" spans="1:7" x14ac:dyDescent="0.25">
      <c r="A1" s="236" t="s">
        <v>1</v>
      </c>
      <c r="B1" s="236"/>
      <c r="C1" s="236"/>
      <c r="D1" s="236"/>
      <c r="E1" s="236"/>
      <c r="F1" s="236"/>
    </row>
    <row r="2" spans="1:7" x14ac:dyDescent="0.25">
      <c r="A2" s="236" t="s">
        <v>2</v>
      </c>
      <c r="B2" s="236"/>
      <c r="C2" s="236"/>
      <c r="D2" s="236"/>
      <c r="E2" s="236"/>
      <c r="F2" s="236"/>
    </row>
    <row r="3" spans="1:7" x14ac:dyDescent="0.25">
      <c r="A3" s="50"/>
      <c r="B3" s="40"/>
      <c r="C3" s="40"/>
      <c r="D3" s="40"/>
      <c r="E3" s="40"/>
      <c r="F3" s="40"/>
    </row>
    <row r="4" spans="1:7" s="57" customFormat="1" ht="18.75" x14ac:dyDescent="0.25">
      <c r="A4" s="237" t="s">
        <v>85</v>
      </c>
      <c r="B4" s="237"/>
      <c r="C4" s="237"/>
      <c r="D4" s="237"/>
      <c r="E4" s="237"/>
      <c r="F4" s="237"/>
    </row>
    <row r="5" spans="1:7" x14ac:dyDescent="0.25">
      <c r="A5" s="50"/>
      <c r="B5" s="40"/>
      <c r="C5" s="40"/>
      <c r="D5" s="40"/>
      <c r="E5" s="40"/>
      <c r="F5" s="40"/>
      <c r="G5" s="33"/>
    </row>
    <row r="6" spans="1:7" s="26" customFormat="1" ht="39.75" hidden="1" customHeight="1" x14ac:dyDescent="0.25">
      <c r="A6" s="238" t="s">
        <v>74</v>
      </c>
      <c r="B6" s="238"/>
      <c r="C6" s="238"/>
      <c r="D6" s="238"/>
      <c r="E6" s="238"/>
      <c r="F6" s="238"/>
    </row>
    <row r="7" spans="1:7" s="5" customFormat="1" hidden="1" x14ac:dyDescent="0.25">
      <c r="A7" s="51" t="s">
        <v>51</v>
      </c>
      <c r="B7" s="25" t="s">
        <v>51</v>
      </c>
      <c r="C7" s="5" t="s">
        <v>75</v>
      </c>
      <c r="D7" s="45"/>
      <c r="E7" s="45"/>
      <c r="F7" s="45"/>
    </row>
    <row r="8" spans="1:7" s="5" customFormat="1" ht="33" hidden="1" x14ac:dyDescent="0.25">
      <c r="A8" s="51" t="s">
        <v>52</v>
      </c>
      <c r="B8" s="25" t="s">
        <v>52</v>
      </c>
      <c r="C8" s="6" t="s">
        <v>67</v>
      </c>
      <c r="D8" s="45"/>
      <c r="E8" s="45"/>
      <c r="F8" s="45"/>
    </row>
    <row r="9" spans="1:7" s="5" customFormat="1" hidden="1" x14ac:dyDescent="0.25">
      <c r="A9" s="52" t="s">
        <v>3</v>
      </c>
      <c r="B9" s="6" t="s">
        <v>3</v>
      </c>
      <c r="D9" s="30"/>
      <c r="E9" s="30"/>
      <c r="F9" s="30"/>
      <c r="G9" s="34"/>
    </row>
    <row r="10" spans="1:7" s="5" customFormat="1" hidden="1" x14ac:dyDescent="0.25">
      <c r="A10" s="53" t="s">
        <v>53</v>
      </c>
      <c r="B10" s="5" t="s">
        <v>53</v>
      </c>
      <c r="D10" s="30"/>
      <c r="E10" s="30"/>
      <c r="F10" s="30"/>
    </row>
    <row r="11" spans="1:7" s="7" customFormat="1" hidden="1" x14ac:dyDescent="0.25">
      <c r="A11" s="54" t="s">
        <v>68</v>
      </c>
      <c r="B11" s="7" t="s">
        <v>68</v>
      </c>
      <c r="D11" s="40"/>
      <c r="E11" s="40"/>
      <c r="F11" s="40"/>
    </row>
    <row r="12" spans="1:7" s="5" customFormat="1" hidden="1" x14ac:dyDescent="0.25">
      <c r="A12" s="53" t="s">
        <v>69</v>
      </c>
      <c r="B12" s="5" t="s">
        <v>69</v>
      </c>
      <c r="D12" s="30"/>
      <c r="E12" s="30"/>
      <c r="F12" s="30"/>
    </row>
    <row r="13" spans="1:7" s="5" customFormat="1" hidden="1" x14ac:dyDescent="0.25">
      <c r="A13" s="53" t="s">
        <v>5</v>
      </c>
      <c r="B13" s="5" t="s">
        <v>5</v>
      </c>
      <c r="D13" s="198" t="s">
        <v>70</v>
      </c>
      <c r="E13" s="208"/>
      <c r="F13" s="30"/>
    </row>
    <row r="14" spans="1:7" s="5" customFormat="1" hidden="1" x14ac:dyDescent="0.25">
      <c r="A14" s="55" t="s">
        <v>4</v>
      </c>
      <c r="B14" s="41" t="s">
        <v>4</v>
      </c>
      <c r="C14" s="41"/>
      <c r="D14" s="209">
        <v>190366962980</v>
      </c>
      <c r="E14" s="209"/>
      <c r="F14" s="30"/>
    </row>
    <row r="15" spans="1:7" s="5" customFormat="1" hidden="1" x14ac:dyDescent="0.25">
      <c r="A15" s="53" t="s">
        <v>6</v>
      </c>
      <c r="B15" s="5" t="s">
        <v>6</v>
      </c>
      <c r="D15" s="198" t="s">
        <v>76</v>
      </c>
      <c r="E15" s="198"/>
      <c r="F15" s="30"/>
    </row>
    <row r="16" spans="1:7" s="5" customFormat="1" hidden="1" x14ac:dyDescent="0.25">
      <c r="A16" s="53" t="s">
        <v>7</v>
      </c>
      <c r="B16" s="5" t="s">
        <v>7</v>
      </c>
      <c r="D16" s="40" t="s">
        <v>71</v>
      </c>
      <c r="E16" s="40"/>
      <c r="F16" s="30"/>
    </row>
    <row r="17" spans="1:8" s="5" customFormat="1" hidden="1" x14ac:dyDescent="0.25">
      <c r="A17" s="53"/>
      <c r="D17" s="30"/>
      <c r="E17" s="30"/>
      <c r="F17" s="30"/>
      <c r="H17" s="35"/>
    </row>
    <row r="18" spans="1:8" s="7" customFormat="1" hidden="1" x14ac:dyDescent="0.25">
      <c r="A18" s="54" t="s">
        <v>8</v>
      </c>
      <c r="B18" s="7" t="s">
        <v>8</v>
      </c>
      <c r="D18" s="40"/>
      <c r="E18" s="40"/>
      <c r="F18" s="40"/>
    </row>
    <row r="19" spans="1:8" s="5" customFormat="1" hidden="1" x14ac:dyDescent="0.25">
      <c r="A19" s="53" t="s">
        <v>47</v>
      </c>
      <c r="B19" s="5" t="s">
        <v>47</v>
      </c>
      <c r="D19" s="30"/>
      <c r="E19" s="30"/>
      <c r="F19" s="30"/>
    </row>
    <row r="20" spans="1:8" s="5" customFormat="1" hidden="1" x14ac:dyDescent="0.25">
      <c r="A20" s="53" t="s">
        <v>5</v>
      </c>
      <c r="B20" s="5" t="s">
        <v>5</v>
      </c>
      <c r="D20" s="24" t="s">
        <v>9</v>
      </c>
      <c r="E20" s="24"/>
      <c r="F20" s="30"/>
    </row>
    <row r="21" spans="1:8" s="5" customFormat="1" hidden="1" x14ac:dyDescent="0.25">
      <c r="A21" s="53" t="s">
        <v>10</v>
      </c>
      <c r="B21" s="5" t="s">
        <v>10</v>
      </c>
      <c r="D21" s="24" t="s">
        <v>11</v>
      </c>
      <c r="E21" s="24"/>
      <c r="F21" s="30"/>
    </row>
    <row r="22" spans="1:8" s="5" customFormat="1" hidden="1" x14ac:dyDescent="0.25">
      <c r="A22" s="53"/>
      <c r="D22" s="30"/>
      <c r="E22" s="30"/>
      <c r="F22" s="30"/>
    </row>
    <row r="23" spans="1:8" s="5" customFormat="1" hidden="1" x14ac:dyDescent="0.25">
      <c r="A23" s="53" t="s">
        <v>6</v>
      </c>
      <c r="B23" s="5" t="s">
        <v>6</v>
      </c>
      <c r="D23" s="24" t="s">
        <v>19</v>
      </c>
      <c r="E23" s="24"/>
      <c r="F23" s="30"/>
    </row>
    <row r="24" spans="1:8" s="5" customFormat="1" hidden="1" x14ac:dyDescent="0.25">
      <c r="A24" s="53" t="s">
        <v>7</v>
      </c>
      <c r="B24" s="5" t="s">
        <v>7</v>
      </c>
      <c r="D24" s="40" t="s">
        <v>66</v>
      </c>
      <c r="E24" s="40"/>
      <c r="F24" s="30"/>
    </row>
    <row r="25" spans="1:8" s="5" customFormat="1" hidden="1" x14ac:dyDescent="0.25">
      <c r="A25" s="53"/>
      <c r="D25" s="30"/>
      <c r="E25" s="30"/>
      <c r="F25" s="30"/>
    </row>
    <row r="26" spans="1:8" s="2" customFormat="1" ht="22.5" customHeight="1" x14ac:dyDescent="0.25">
      <c r="A26" s="56" t="s">
        <v>12</v>
      </c>
      <c r="B26" s="20" t="s">
        <v>86</v>
      </c>
      <c r="C26" s="20" t="s">
        <v>30</v>
      </c>
      <c r="D26" s="20" t="s">
        <v>87</v>
      </c>
      <c r="E26" s="20" t="s">
        <v>88</v>
      </c>
      <c r="F26" s="20" t="s">
        <v>18</v>
      </c>
    </row>
    <row r="27" spans="1:8" s="2" customFormat="1" ht="22.5" hidden="1" customHeight="1" x14ac:dyDescent="0.25">
      <c r="A27" s="226" t="s">
        <v>101</v>
      </c>
      <c r="B27" s="227"/>
      <c r="C27" s="227"/>
      <c r="D27" s="227"/>
      <c r="E27" s="227"/>
      <c r="F27" s="228"/>
    </row>
    <row r="28" spans="1:8" ht="22.5" hidden="1" customHeight="1" x14ac:dyDescent="0.25">
      <c r="A28" s="49">
        <v>1</v>
      </c>
      <c r="B28" s="47">
        <v>45576</v>
      </c>
      <c r="C28" s="48" t="s">
        <v>89</v>
      </c>
      <c r="D28" s="43" t="s">
        <v>90</v>
      </c>
      <c r="E28" s="43" t="s">
        <v>91</v>
      </c>
      <c r="F28" s="49" t="s">
        <v>92</v>
      </c>
    </row>
    <row r="29" spans="1:8" ht="22.5" hidden="1" customHeight="1" x14ac:dyDescent="0.25">
      <c r="A29" s="46">
        <v>2</v>
      </c>
      <c r="B29" s="44">
        <v>45576</v>
      </c>
      <c r="C29" s="19" t="s">
        <v>89</v>
      </c>
      <c r="D29" s="42" t="s">
        <v>90</v>
      </c>
      <c r="E29" s="42" t="s">
        <v>93</v>
      </c>
      <c r="F29" s="46" t="s">
        <v>92</v>
      </c>
    </row>
    <row r="30" spans="1:8" ht="22.5" hidden="1" customHeight="1" x14ac:dyDescent="0.25">
      <c r="A30" s="49">
        <v>3</v>
      </c>
      <c r="B30" s="44">
        <v>45577</v>
      </c>
      <c r="C30" s="19" t="s">
        <v>89</v>
      </c>
      <c r="D30" s="42" t="s">
        <v>90</v>
      </c>
      <c r="E30" s="42" t="s">
        <v>94</v>
      </c>
      <c r="F30" s="46" t="s">
        <v>95</v>
      </c>
    </row>
    <row r="31" spans="1:8" ht="22.5" hidden="1" customHeight="1" x14ac:dyDescent="0.25">
      <c r="A31" s="46">
        <v>4</v>
      </c>
      <c r="B31" s="44">
        <v>45577</v>
      </c>
      <c r="C31" s="19" t="s">
        <v>89</v>
      </c>
      <c r="D31" s="42" t="s">
        <v>97</v>
      </c>
      <c r="E31" s="42" t="s">
        <v>96</v>
      </c>
      <c r="F31" s="46" t="s">
        <v>92</v>
      </c>
    </row>
    <row r="32" spans="1:8" ht="22.5" hidden="1" customHeight="1" x14ac:dyDescent="0.25">
      <c r="A32" s="49">
        <v>5</v>
      </c>
      <c r="B32" s="44">
        <v>45579</v>
      </c>
      <c r="C32" s="19" t="s">
        <v>89</v>
      </c>
      <c r="D32" s="42" t="s">
        <v>90</v>
      </c>
      <c r="E32" s="42" t="s">
        <v>98</v>
      </c>
      <c r="F32" s="46" t="s">
        <v>92</v>
      </c>
    </row>
    <row r="33" spans="1:6" ht="22.5" hidden="1" customHeight="1" x14ac:dyDescent="0.25">
      <c r="A33" s="46">
        <v>6</v>
      </c>
      <c r="B33" s="44">
        <v>45579</v>
      </c>
      <c r="C33" s="19" t="s">
        <v>89</v>
      </c>
      <c r="D33" s="42" t="s">
        <v>90</v>
      </c>
      <c r="E33" s="42" t="s">
        <v>99</v>
      </c>
      <c r="F33" s="46" t="s">
        <v>92</v>
      </c>
    </row>
    <row r="34" spans="1:6" ht="22.5" hidden="1" customHeight="1" x14ac:dyDescent="0.25">
      <c r="A34" s="49">
        <v>7</v>
      </c>
      <c r="B34" s="44">
        <v>45579</v>
      </c>
      <c r="C34" s="19" t="s">
        <v>89</v>
      </c>
      <c r="D34" s="42" t="s">
        <v>90</v>
      </c>
      <c r="E34" s="42" t="s">
        <v>100</v>
      </c>
      <c r="F34" s="46" t="s">
        <v>92</v>
      </c>
    </row>
    <row r="35" spans="1:6" ht="22.5" hidden="1" customHeight="1" x14ac:dyDescent="0.25">
      <c r="A35" s="46">
        <v>8</v>
      </c>
      <c r="B35" s="44">
        <v>45580</v>
      </c>
      <c r="C35" s="19" t="s">
        <v>89</v>
      </c>
      <c r="D35" s="42" t="s">
        <v>90</v>
      </c>
      <c r="E35" s="42" t="s">
        <v>81</v>
      </c>
      <c r="F35" s="46" t="s">
        <v>92</v>
      </c>
    </row>
    <row r="36" spans="1:6" ht="22.5" hidden="1" customHeight="1" x14ac:dyDescent="0.25">
      <c r="A36" s="49">
        <v>9</v>
      </c>
      <c r="B36" s="44">
        <v>45580</v>
      </c>
      <c r="C36" s="19" t="s">
        <v>89</v>
      </c>
      <c r="D36" s="42" t="s">
        <v>90</v>
      </c>
      <c r="E36" s="42" t="s">
        <v>79</v>
      </c>
      <c r="F36" s="46" t="s">
        <v>92</v>
      </c>
    </row>
    <row r="37" spans="1:6" ht="22.5" hidden="1" customHeight="1" x14ac:dyDescent="0.25">
      <c r="A37" s="46">
        <v>10</v>
      </c>
      <c r="B37" s="44">
        <v>45582</v>
      </c>
      <c r="C37" s="19" t="s">
        <v>89</v>
      </c>
      <c r="D37" s="42" t="s">
        <v>90</v>
      </c>
      <c r="E37" s="42" t="s">
        <v>80</v>
      </c>
      <c r="F37" s="46" t="s">
        <v>92</v>
      </c>
    </row>
    <row r="38" spans="1:6" ht="22.5" hidden="1" customHeight="1" x14ac:dyDescent="0.25">
      <c r="A38" s="226" t="s">
        <v>102</v>
      </c>
      <c r="B38" s="227"/>
      <c r="C38" s="227"/>
      <c r="D38" s="227"/>
      <c r="E38" s="227"/>
      <c r="F38" s="228"/>
    </row>
    <row r="39" spans="1:6" ht="22.5" hidden="1" customHeight="1" x14ac:dyDescent="0.25">
      <c r="A39" s="49">
        <v>1</v>
      </c>
      <c r="B39" s="44">
        <v>45592</v>
      </c>
      <c r="C39" s="19" t="s">
        <v>89</v>
      </c>
      <c r="D39" s="42" t="s">
        <v>97</v>
      </c>
      <c r="E39" s="42" t="s">
        <v>77</v>
      </c>
      <c r="F39" s="46" t="s">
        <v>92</v>
      </c>
    </row>
    <row r="40" spans="1:6" ht="22.5" hidden="1" customHeight="1" x14ac:dyDescent="0.25">
      <c r="A40" s="46">
        <v>2</v>
      </c>
      <c r="B40" s="44">
        <v>45597</v>
      </c>
      <c r="C40" s="19" t="s">
        <v>89</v>
      </c>
      <c r="D40" s="42" t="s">
        <v>90</v>
      </c>
      <c r="E40" s="42" t="s">
        <v>81</v>
      </c>
      <c r="F40" s="46" t="s">
        <v>92</v>
      </c>
    </row>
    <row r="41" spans="1:6" ht="22.5" hidden="1" customHeight="1" x14ac:dyDescent="0.25">
      <c r="A41" s="49">
        <v>3</v>
      </c>
      <c r="B41" s="44">
        <v>45597</v>
      </c>
      <c r="C41" s="19" t="s">
        <v>89</v>
      </c>
      <c r="D41" s="42" t="s">
        <v>90</v>
      </c>
      <c r="E41" s="42" t="s">
        <v>82</v>
      </c>
      <c r="F41" s="46" t="s">
        <v>92</v>
      </c>
    </row>
    <row r="42" spans="1:6" ht="22.5" hidden="1" customHeight="1" x14ac:dyDescent="0.25">
      <c r="A42" s="46">
        <v>4</v>
      </c>
      <c r="B42" s="44">
        <v>45600</v>
      </c>
      <c r="C42" s="19" t="s">
        <v>89</v>
      </c>
      <c r="D42" s="42" t="s">
        <v>97</v>
      </c>
      <c r="E42" s="42" t="s">
        <v>83</v>
      </c>
      <c r="F42" s="46" t="s">
        <v>92</v>
      </c>
    </row>
    <row r="43" spans="1:6" ht="22.5" hidden="1" customHeight="1" x14ac:dyDescent="0.25">
      <c r="A43" s="49">
        <v>5</v>
      </c>
      <c r="B43" s="44">
        <v>45605</v>
      </c>
      <c r="C43" s="19" t="s">
        <v>89</v>
      </c>
      <c r="D43" s="42" t="s">
        <v>90</v>
      </c>
      <c r="E43" s="42" t="s">
        <v>78</v>
      </c>
      <c r="F43" s="46" t="s">
        <v>92</v>
      </c>
    </row>
    <row r="44" spans="1:6" ht="22.5" hidden="1" customHeight="1" x14ac:dyDescent="0.25">
      <c r="A44" s="46">
        <v>6</v>
      </c>
      <c r="B44" s="44">
        <v>45605</v>
      </c>
      <c r="C44" s="19" t="s">
        <v>89</v>
      </c>
      <c r="D44" s="42" t="s">
        <v>90</v>
      </c>
      <c r="E44" s="42" t="s">
        <v>79</v>
      </c>
      <c r="F44" s="46" t="s">
        <v>92</v>
      </c>
    </row>
    <row r="45" spans="1:6" ht="22.5" hidden="1" customHeight="1" x14ac:dyDescent="0.25">
      <c r="A45" s="49">
        <v>7</v>
      </c>
      <c r="B45" s="44">
        <v>45607</v>
      </c>
      <c r="C45" s="19" t="s">
        <v>89</v>
      </c>
      <c r="D45" s="42" t="s">
        <v>90</v>
      </c>
      <c r="E45" s="42" t="s">
        <v>80</v>
      </c>
      <c r="F45" s="46" t="s">
        <v>92</v>
      </c>
    </row>
    <row r="46" spans="1:6" ht="22.5" hidden="1" customHeight="1" x14ac:dyDescent="0.25">
      <c r="A46" s="46">
        <v>8</v>
      </c>
      <c r="B46" s="44">
        <v>45614</v>
      </c>
      <c r="C46" s="19" t="s">
        <v>89</v>
      </c>
      <c r="D46" s="42" t="s">
        <v>103</v>
      </c>
      <c r="E46" s="42" t="s">
        <v>84</v>
      </c>
      <c r="F46" s="46" t="s">
        <v>95</v>
      </c>
    </row>
    <row r="47" spans="1:6" ht="22.5" hidden="1" customHeight="1" x14ac:dyDescent="0.25">
      <c r="A47" s="226" t="s">
        <v>104</v>
      </c>
      <c r="B47" s="227"/>
      <c r="C47" s="227"/>
      <c r="D47" s="227"/>
      <c r="E47" s="227"/>
      <c r="F47" s="228"/>
    </row>
    <row r="48" spans="1:6" ht="22.5" hidden="1" customHeight="1" x14ac:dyDescent="0.25">
      <c r="A48" s="46">
        <v>1</v>
      </c>
      <c r="B48" s="44">
        <v>45636</v>
      </c>
      <c r="C48" s="19" t="s">
        <v>89</v>
      </c>
      <c r="D48" s="42" t="s">
        <v>103</v>
      </c>
      <c r="E48" s="58" t="s">
        <v>105</v>
      </c>
      <c r="F48" s="46" t="s">
        <v>95</v>
      </c>
    </row>
    <row r="49" spans="1:6" ht="22.5" customHeight="1" x14ac:dyDescent="0.25">
      <c r="A49" s="226" t="s">
        <v>106</v>
      </c>
      <c r="B49" s="227"/>
      <c r="C49" s="227"/>
      <c r="D49" s="227"/>
      <c r="E49" s="227"/>
      <c r="F49" s="228"/>
    </row>
    <row r="50" spans="1:6" ht="22.5" customHeight="1" x14ac:dyDescent="0.25">
      <c r="A50" s="46">
        <v>1</v>
      </c>
      <c r="B50" s="44">
        <v>45671</v>
      </c>
      <c r="C50" s="19" t="s">
        <v>89</v>
      </c>
      <c r="D50" s="42" t="s">
        <v>90</v>
      </c>
      <c r="E50" s="58" t="s">
        <v>107</v>
      </c>
      <c r="F50" s="46" t="s">
        <v>92</v>
      </c>
    </row>
    <row r="51" spans="1:6" ht="22.5" customHeight="1" x14ac:dyDescent="0.25">
      <c r="A51" s="46">
        <v>2</v>
      </c>
      <c r="B51" s="44">
        <v>45672</v>
      </c>
      <c r="C51" s="19" t="s">
        <v>108</v>
      </c>
      <c r="D51" s="42" t="s">
        <v>90</v>
      </c>
      <c r="E51" s="58" t="s">
        <v>107</v>
      </c>
      <c r="F51" s="46" t="s">
        <v>92</v>
      </c>
    </row>
    <row r="52" spans="1:6" ht="22.5" customHeight="1" x14ac:dyDescent="0.25">
      <c r="A52" s="46">
        <v>3</v>
      </c>
      <c r="B52" s="44">
        <v>45675</v>
      </c>
      <c r="C52" s="19" t="s">
        <v>89</v>
      </c>
      <c r="D52" s="42" t="s">
        <v>109</v>
      </c>
      <c r="E52" s="58" t="s">
        <v>110</v>
      </c>
      <c r="F52" s="46" t="s">
        <v>95</v>
      </c>
    </row>
    <row r="53" spans="1:6" ht="22.5" customHeight="1" x14ac:dyDescent="0.25">
      <c r="A53" s="46">
        <v>4</v>
      </c>
      <c r="B53" s="44">
        <v>45675</v>
      </c>
      <c r="C53" s="19" t="s">
        <v>108</v>
      </c>
      <c r="D53" s="42" t="s">
        <v>112</v>
      </c>
      <c r="E53" s="42" t="s">
        <v>111</v>
      </c>
      <c r="F53" s="46" t="s">
        <v>95</v>
      </c>
    </row>
    <row r="54" spans="1:6" ht="22.5" customHeight="1" x14ac:dyDescent="0.25">
      <c r="A54" s="46"/>
      <c r="B54" s="44"/>
      <c r="C54" s="19"/>
      <c r="D54" s="42"/>
      <c r="E54" s="42"/>
      <c r="F54" s="46"/>
    </row>
    <row r="55" spans="1:6" x14ac:dyDescent="0.25">
      <c r="A55" s="53" t="s">
        <v>60</v>
      </c>
      <c r="B55" s="5" t="s">
        <v>60</v>
      </c>
    </row>
    <row r="56" spans="1:6" s="9" customFormat="1" ht="18.75" x14ac:dyDescent="0.25">
      <c r="A56" s="236" t="s">
        <v>21</v>
      </c>
      <c r="B56" s="236"/>
      <c r="C56" s="236"/>
      <c r="D56" s="236" t="s">
        <v>22</v>
      </c>
      <c r="E56" s="236"/>
      <c r="F56" s="236"/>
    </row>
  </sheetData>
  <mergeCells count="13">
    <mergeCell ref="A1:F1"/>
    <mergeCell ref="A2:F2"/>
    <mergeCell ref="A4:F4"/>
    <mergeCell ref="A6:F6"/>
    <mergeCell ref="D13:E13"/>
    <mergeCell ref="A27:F27"/>
    <mergeCell ref="A38:F38"/>
    <mergeCell ref="D14:E14"/>
    <mergeCell ref="D15:E15"/>
    <mergeCell ref="D56:F56"/>
    <mergeCell ref="A56:C56"/>
    <mergeCell ref="A47:F47"/>
    <mergeCell ref="A49:F49"/>
  </mergeCells>
  <pageMargins left="0.32" right="0.24" top="0.33" bottom="0.31" header="0.31496062992125984" footer="0.19"/>
  <pageSetup paperSize="9" scale="86" fitToHeight="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ĐNTT</vt:lpstr>
      <vt:lpstr>ĐCCN</vt:lpstr>
      <vt:lpstr>Giá trị</vt:lpstr>
      <vt:lpstr>Khối lượng</vt:lpstr>
      <vt:lpstr>Vận chuyển</vt:lpstr>
      <vt:lpstr>ĐCCN!Print_Area</vt:lpstr>
      <vt:lpstr>ĐNTT!Print_Area</vt:lpstr>
      <vt:lpstr>'Giá trị'!Print_Area</vt:lpstr>
      <vt:lpstr>'Khối lượng'!Print_Area</vt:lpstr>
      <vt:lpstr>'Vận chuyển'!Print_Area</vt:lpstr>
      <vt:lpstr>'Vận chuyển'!Print_Titles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2026-08-10T04:29:09Z</cp:lastPrinted>
  <dcterms:created xsi:type="dcterms:W3CDTF">2022-05-24T04:14:06Z</dcterms:created>
  <dcterms:modified xsi:type="dcterms:W3CDTF">2026-09-07T09:06:47Z</dcterms:modified>
</cp:coreProperties>
</file>